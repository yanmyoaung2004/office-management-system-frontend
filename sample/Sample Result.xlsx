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I\Desktop\"/>
    </mc:Choice>
  </mc:AlternateContent>
  <xr:revisionPtr revIDLastSave="0" documentId="8_{4605C396-3326-4E14-A8E9-99E4ABAFCAB0}" xr6:coauthVersionLast="47" xr6:coauthVersionMax="47" xr10:uidLastSave="{00000000-0000-0000-0000-000000000000}"/>
  <bookViews>
    <workbookView xWindow="-120" yWindow="-120" windowWidth="29040" windowHeight="15840" xr2:uid="{4A2EB922-4532-41C0-A01F-D4750E5B3913}"/>
  </bookViews>
  <sheets>
    <sheet name="Sample Foun Moder(Civil&amp;Archi)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'Sample Foun Moder(Civil&amp;Archi)'!$A$5:$BI$8</definedName>
    <definedName name="a" localSheetId="0">#REF!</definedName>
    <definedName name="a">#REF!</definedName>
    <definedName name="aa" localSheetId="0">[2]Grading!$D$2</definedName>
    <definedName name="aa">[3]Grading!$D$2</definedName>
    <definedName name="aaa" localSheetId="0">[2]Grading!$D$13</definedName>
    <definedName name="aaa">[3]Grading!$D$13</definedName>
    <definedName name="Absent" localSheetId="0">#REF!</definedName>
    <definedName name="Absent">#REF!</definedName>
    <definedName name="Absent_Short" localSheetId="0">#REF!</definedName>
    <definedName name="Absent_Short">#REF!</definedName>
    <definedName name="bb" localSheetId="0">[2]Grading!$B$7</definedName>
    <definedName name="bb">[3]Grading!$B$7</definedName>
    <definedName name="BM" localSheetId="0">#REF!</definedName>
    <definedName name="BM">#REF!</definedName>
    <definedName name="BM_1101" localSheetId="0">#REF!</definedName>
    <definedName name="BM_1101">#REF!</definedName>
    <definedName name="BM_1102" localSheetId="0">#REF!</definedName>
    <definedName name="BM_1102">#REF!</definedName>
    <definedName name="BM_1103" localSheetId="0">#REF!</definedName>
    <definedName name="BM_1103">#REF!</definedName>
    <definedName name="BM_1104" localSheetId="0">#REF!</definedName>
    <definedName name="BM_1104">#REF!</definedName>
    <definedName name="BM_1105" localSheetId="0">#REF!</definedName>
    <definedName name="BM_1105">#REF!</definedName>
    <definedName name="BM_1106" localSheetId="0">#REF!</definedName>
    <definedName name="BM_1106">#REF!</definedName>
    <definedName name="BM1101_CU" localSheetId="0">#REF!</definedName>
    <definedName name="BM1101_CU">#REF!</definedName>
    <definedName name="BM1102_CU" localSheetId="0">#REF!</definedName>
    <definedName name="BM1102_CU">#REF!</definedName>
    <definedName name="BM1103_CU" localSheetId="0">#REF!</definedName>
    <definedName name="BM1103_CU">#REF!</definedName>
    <definedName name="BM1104_CU" localSheetId="0">#REF!</definedName>
    <definedName name="BM1104_CU">#REF!</definedName>
    <definedName name="BM1105_CU" localSheetId="0">#REF!</definedName>
    <definedName name="BM1105_CU">#REF!</definedName>
    <definedName name="BM1106_CU" localSheetId="0">#REF!</definedName>
    <definedName name="BM1106_CU">#REF!</definedName>
    <definedName name="cc" localSheetId="0">[2]Grading!$D$2</definedName>
    <definedName name="cc">[3]Grading!$D$2</definedName>
    <definedName name="Credit" localSheetId="0">#REF!</definedName>
    <definedName name="Credit">#REF!</definedName>
    <definedName name="Distinction" localSheetId="0">#REF!</definedName>
    <definedName name="Distinction">#REF!</definedName>
    <definedName name="DOBFirst">[4]Sheet2!$H$2</definedName>
    <definedName name="DOBLast">[4]Sheet2!$H$3</definedName>
    <definedName name="Fail" localSheetId="0">#REF!</definedName>
    <definedName name="Fail">#REF!</definedName>
    <definedName name="FS_1101">[5]Grading!$A$20</definedName>
    <definedName name="FS_1102">[5]Grading!$A$21</definedName>
    <definedName name="FS_1103">[5]Grading!$A$22</definedName>
    <definedName name="FS_1104">[5]Grading!$A$23</definedName>
    <definedName name="FS_1105">[5]Grading!$A$24</definedName>
    <definedName name="FS_1106">[5]Grading!$A$25</definedName>
    <definedName name="GM1102_CU" localSheetId="0">#REF!</definedName>
    <definedName name="GM1102_CU">#REF!</definedName>
    <definedName name="Grade_A" localSheetId="0">#REF!</definedName>
    <definedName name="Grade_A">#REF!</definedName>
    <definedName name="Grade_A_GPA" localSheetId="0">#REF!</definedName>
    <definedName name="Grade_A_GPA">#REF!</definedName>
    <definedName name="Grade_A_LowerBound" localSheetId="0">#REF!</definedName>
    <definedName name="Grade_A_LowerBound">#REF!</definedName>
    <definedName name="Grade_A_Minus" localSheetId="0">#REF!</definedName>
    <definedName name="Grade_A_Minus">#REF!</definedName>
    <definedName name="Grade_A_Minus_GPA" localSheetId="0">#REF!</definedName>
    <definedName name="Grade_A_Minus_GPA">#REF!</definedName>
    <definedName name="Grade_A_Minus_LowerBound" localSheetId="0">#REF!</definedName>
    <definedName name="Grade_A_Minus_LowerBound">#REF!</definedName>
    <definedName name="Grade_A_Minus_Short" localSheetId="0">#REF!</definedName>
    <definedName name="Grade_A_Minus_Short">#REF!</definedName>
    <definedName name="Grade_A_Minus_UpperBound" localSheetId="0">#REF!</definedName>
    <definedName name="Grade_A_Minus_UpperBound">#REF!</definedName>
    <definedName name="Grade_A_Plus" localSheetId="0">#REF!</definedName>
    <definedName name="Grade_A_Plus">#REF!</definedName>
    <definedName name="Grade_A_Plus_GPA" localSheetId="0">#REF!</definedName>
    <definedName name="Grade_A_Plus_GPA">#REF!</definedName>
    <definedName name="Grade_A_Plus_LowerBound" localSheetId="0">#REF!</definedName>
    <definedName name="Grade_A_Plus_LowerBound">#REF!</definedName>
    <definedName name="Grade_A_Plus_Short" localSheetId="0">#REF!</definedName>
    <definedName name="Grade_A_Plus_Short">#REF!</definedName>
    <definedName name="Grade_A_Plus_UpperBound" localSheetId="0">#REF!</definedName>
    <definedName name="Grade_A_Plus_UpperBound">#REF!</definedName>
    <definedName name="Grade_A_Short" localSheetId="0">#REF!</definedName>
    <definedName name="Grade_A_Short">#REF!</definedName>
    <definedName name="Grade_A_UpperBound" localSheetId="0">#REF!</definedName>
    <definedName name="Grade_A_UpperBound">#REF!</definedName>
    <definedName name="Grade_B" localSheetId="0">#REF!</definedName>
    <definedName name="Grade_B">#REF!</definedName>
    <definedName name="Grade_B_GPA" localSheetId="0">#REF!</definedName>
    <definedName name="Grade_B_GPA">#REF!</definedName>
    <definedName name="Grade_B_LowerBound" localSheetId="0">#REF!</definedName>
    <definedName name="Grade_B_LowerBound">#REF!</definedName>
    <definedName name="Grade_B_Minus" localSheetId="0">#REF!</definedName>
    <definedName name="Grade_B_Minus">#REF!</definedName>
    <definedName name="Grade_B_Minus_GPA" localSheetId="0">#REF!</definedName>
    <definedName name="Grade_B_Minus_GPA">#REF!</definedName>
    <definedName name="Grade_B_Minus_LowerBound" localSheetId="0">#REF!</definedName>
    <definedName name="Grade_B_Minus_LowerBound">#REF!</definedName>
    <definedName name="Grade_B_Minus_Short" localSheetId="0">#REF!</definedName>
    <definedName name="Grade_B_Minus_Short">#REF!</definedName>
    <definedName name="Grade_B_Minus_UpperBound" localSheetId="0">#REF!</definedName>
    <definedName name="Grade_B_Minus_UpperBound">#REF!</definedName>
    <definedName name="Grade_B_Plus" localSheetId="0">#REF!</definedName>
    <definedName name="Grade_B_Plus">#REF!</definedName>
    <definedName name="Grade_B_Plus_GPA" localSheetId="0">#REF!</definedName>
    <definedName name="Grade_B_Plus_GPA">#REF!</definedName>
    <definedName name="Grade_B_Plus_LowerBound" localSheetId="0">#REF!</definedName>
    <definedName name="Grade_B_Plus_LowerBound">#REF!</definedName>
    <definedName name="Grade_B_Plus_Short" localSheetId="0">#REF!</definedName>
    <definedName name="Grade_B_Plus_Short">#REF!</definedName>
    <definedName name="Grade_B_Plus_UpperBound" localSheetId="0">#REF!</definedName>
    <definedName name="Grade_B_Plus_UpperBound">#REF!</definedName>
    <definedName name="Grade_B_Short" localSheetId="0">#REF!</definedName>
    <definedName name="Grade_B_Short">#REF!</definedName>
    <definedName name="Grade_B_UpperBound" localSheetId="0">#REF!</definedName>
    <definedName name="Grade_B_UpperBound">#REF!</definedName>
    <definedName name="Grade_C" localSheetId="0">#REF!</definedName>
    <definedName name="Grade_C">#REF!</definedName>
    <definedName name="Grade_C_GPA" localSheetId="0">#REF!</definedName>
    <definedName name="Grade_C_GPA">#REF!</definedName>
    <definedName name="Grade_C_LowerBound" localSheetId="0">#REF!</definedName>
    <definedName name="Grade_C_LowerBound">#REF!</definedName>
    <definedName name="Grade_C_Minus" localSheetId="0">#REF!</definedName>
    <definedName name="Grade_C_Minus">#REF!</definedName>
    <definedName name="Grade_C_Minus_GPA" localSheetId="0">#REF!</definedName>
    <definedName name="Grade_C_Minus_GPA">#REF!</definedName>
    <definedName name="Grade_C_Minus_LowerBound" localSheetId="0">#REF!</definedName>
    <definedName name="Grade_C_Minus_LowerBound">#REF!</definedName>
    <definedName name="Grade_C_Minus_Short" localSheetId="0">#REF!</definedName>
    <definedName name="Grade_C_Minus_Short">#REF!</definedName>
    <definedName name="Grade_C_Minus_UpperBound" localSheetId="0">#REF!</definedName>
    <definedName name="Grade_C_Minus_UpperBound">#REF!</definedName>
    <definedName name="Grade_C_Plus" localSheetId="0">#REF!</definedName>
    <definedName name="Grade_C_Plus">#REF!</definedName>
    <definedName name="Grade_C_Plus_GPA" localSheetId="0">#REF!</definedName>
    <definedName name="Grade_C_Plus_GPA">#REF!</definedName>
    <definedName name="Grade_C_Plus_LowerBound" localSheetId="0">#REF!</definedName>
    <definedName name="Grade_C_Plus_LowerBound">#REF!</definedName>
    <definedName name="Grade_C_Plus_Short" localSheetId="0">#REF!</definedName>
    <definedName name="Grade_C_Plus_Short">#REF!</definedName>
    <definedName name="Grade_C_Plus_UpperBound" localSheetId="0">#REF!</definedName>
    <definedName name="Grade_C_Plus_UpperBound">#REF!</definedName>
    <definedName name="Grade_C_Short" localSheetId="0">#REF!</definedName>
    <definedName name="Grade_C_Short">#REF!</definedName>
    <definedName name="Grade_C_UpperBound" localSheetId="0">#REF!</definedName>
    <definedName name="Grade_C_UpperBound">#REF!</definedName>
    <definedName name="Grade_D" localSheetId="0">#REF!</definedName>
    <definedName name="Grade_D">#REF!</definedName>
    <definedName name="Grade_D_GPA" localSheetId="0">#REF!</definedName>
    <definedName name="Grade_D_GPA">#REF!</definedName>
    <definedName name="Grade_D_LowerBound" localSheetId="0">#REF!</definedName>
    <definedName name="Grade_D_LowerBound">#REF!</definedName>
    <definedName name="Grade_D_Plus" localSheetId="0">#REF!</definedName>
    <definedName name="Grade_D_Plus">#REF!</definedName>
    <definedName name="Grade_D_Plus_GPA" localSheetId="0">#REF!</definedName>
    <definedName name="Grade_D_Plus_GPA">#REF!</definedName>
    <definedName name="Grade_D_Plus_LowerBound" localSheetId="0">#REF!</definedName>
    <definedName name="Grade_D_Plus_LowerBound">#REF!</definedName>
    <definedName name="Grade_D_Plus_Short" localSheetId="0">#REF!</definedName>
    <definedName name="Grade_D_Plus_Short">#REF!</definedName>
    <definedName name="Grade_D_Plus_UpperBound" localSheetId="0">#REF!</definedName>
    <definedName name="Grade_D_Plus_UpperBound">#REF!</definedName>
    <definedName name="Grade_D_Short" localSheetId="0">#REF!</definedName>
    <definedName name="Grade_D_Short">#REF!</definedName>
    <definedName name="Grade_D_UpperBound" localSheetId="0">#REF!</definedName>
    <definedName name="Grade_D_UpperBound">#REF!</definedName>
    <definedName name="Grade_E" localSheetId="0">#REF!</definedName>
    <definedName name="Grade_E">#REF!</definedName>
    <definedName name="Grade_E_Bound" localSheetId="0">#REF!</definedName>
    <definedName name="Grade_E_Bound">#REF!</definedName>
    <definedName name="Grade_E_GPA" localSheetId="0">#REF!</definedName>
    <definedName name="Grade_E_GPA">#REF!</definedName>
    <definedName name="Grade_E_Short" localSheetId="0">#REF!</definedName>
    <definedName name="Grade_E_Short">#REF!</definedName>
    <definedName name="Grade_F" localSheetId="0">#REF!</definedName>
    <definedName name="Grade_F">#REF!</definedName>
    <definedName name="Grade_F_Bound" localSheetId="0">#REF!</definedName>
    <definedName name="Grade_F_Bound">#REF!</definedName>
    <definedName name="Grade_F_GPA" localSheetId="0">#REF!</definedName>
    <definedName name="Grade_F_GPA">#REF!</definedName>
    <definedName name="Grade_F_Short" localSheetId="0">#REF!</definedName>
    <definedName name="Grade_F_Short">#REF!</definedName>
    <definedName name="Hydraulic" localSheetId="0">#REF!</definedName>
    <definedName name="Hydraulic">#REF!</definedName>
    <definedName name="Incomplete" localSheetId="0">#REF!</definedName>
    <definedName name="Incomplete">#REF!</definedName>
    <definedName name="Incomplete_Short" localSheetId="0">#REF!</definedName>
    <definedName name="Incomplete_Short">#REF!</definedName>
    <definedName name="nini" localSheetId="0">[2]Grading!$B$14</definedName>
    <definedName name="nini">[3]Grading!$B$14</definedName>
    <definedName name="nu" localSheetId="0">[2]Grading!$D$4</definedName>
    <definedName name="nu">[3]Grading!$D$4</definedName>
    <definedName name="Pass" localSheetId="0">#REF!</definedName>
    <definedName name="Pass">#REF!</definedName>
    <definedName name="_xlnm.Print_Area" localSheetId="0">'Sample Foun Moder(Civil&amp;Archi)'!$A$1:$BI$14</definedName>
    <definedName name="_xlnm.Print_Titles" localSheetId="0">'Sample Foun Moder(Civil&amp;Archi)'!$A:$D</definedName>
    <definedName name="Rejected" localSheetId="0">#REF!</definedName>
    <definedName name="Rejected">#REF!</definedName>
    <definedName name="S1_CreditUnit" localSheetId="0">#REF!</definedName>
    <definedName name="S1_CreditUnit">#REF!</definedName>
    <definedName name="S2_CreditUnit" localSheetId="0">#REF!</definedName>
    <definedName name="S2_CreditUnit">#REF!</definedName>
    <definedName name="Section_List">[4]Sheet2!$I$2:$I$9</definedName>
    <definedName name="Semester_Wise_Absent" localSheetId="0">#REF!</definedName>
    <definedName name="Semester_Wise_Absent">#REF!</definedName>
    <definedName name="Semester_Wise_Absent_Short" localSheetId="0">#REF!</definedName>
    <definedName name="Semester_Wise_Absent_Short">#REF!</definedName>
    <definedName name="Semester_Wise_Failed" localSheetId="0">#REF!</definedName>
    <definedName name="Semester_Wise_Failed">#REF!</definedName>
    <definedName name="Semester_Wise_Failed_Short" localSheetId="0">#REF!</definedName>
    <definedName name="Semester_Wise_Failed_Short">#REF!</definedName>
    <definedName name="Semester_Wise_Incomplete" localSheetId="0">#REF!</definedName>
    <definedName name="Semester_Wise_Incomplete">#REF!</definedName>
    <definedName name="Semester_Wise_Incomplete_Short" localSheetId="0">#REF!</definedName>
    <definedName name="Semester_Wise_Incomplete_Short">#REF!</definedName>
    <definedName name="Semester_Wise_Passed" localSheetId="0">#REF!</definedName>
    <definedName name="Semester_Wise_Passed">#REF!</definedName>
    <definedName name="Semester_Wise_Passed_Short" localSheetId="0">#REF!</definedName>
    <definedName name="Semester_Wise_Passed_Short">#REF!</definedName>
    <definedName name="Semester_Wise_Withdraw" localSheetId="0">#REF!</definedName>
    <definedName name="Semester_Wise_Withdraw">#REF!</definedName>
    <definedName name="Semester_Wise_Withdraw_Short" localSheetId="0">#REF!</definedName>
    <definedName name="Semester_Wise_Withdraw_Short">#REF!</definedName>
    <definedName name="SummationCreditUnits" localSheetId="0">#REF!</definedName>
    <definedName name="SummationCreditUnits">#REF!</definedName>
    <definedName name="vv" localSheetId="0">[2]Grading!$D$8</definedName>
    <definedName name="vv">[3]Grading!$D$8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8" i="1" l="1"/>
  <c r="AW8" i="1"/>
  <c r="AV8" i="1"/>
  <c r="AY8" i="1" s="1"/>
  <c r="BA8" i="1" s="1"/>
  <c r="AU8" i="1"/>
  <c r="AT8" i="1"/>
  <c r="AS8" i="1"/>
  <c r="AR8" i="1"/>
  <c r="AQ8" i="1"/>
  <c r="AP8" i="1"/>
  <c r="AO8" i="1"/>
  <c r="AN8" i="1"/>
  <c r="AM8" i="1"/>
  <c r="AL8" i="1"/>
  <c r="AK8" i="1"/>
  <c r="BG8" i="1"/>
  <c r="BC8" i="1"/>
  <c r="AJ8" i="1"/>
  <c r="BI8" i="1" s="1"/>
  <c r="AI8" i="1"/>
  <c r="AF8" i="1"/>
  <c r="BH8" i="1" s="1"/>
  <c r="AE8" i="1"/>
  <c r="AB8" i="1"/>
  <c r="AA8" i="1"/>
  <c r="X8" i="1"/>
  <c r="W8" i="1"/>
  <c r="T8" i="1"/>
  <c r="BE8" i="1" s="1"/>
  <c r="S8" i="1"/>
  <c r="P8" i="1"/>
  <c r="BD8" i="1" s="1"/>
  <c r="O8" i="1"/>
  <c r="L8" i="1"/>
  <c r="K8" i="1"/>
  <c r="H8" i="1"/>
  <c r="G8" i="1"/>
  <c r="AZ8" i="1" l="1"/>
  <c r="BB8" i="1"/>
  <c r="BF8" i="1"/>
</calcChain>
</file>

<file path=xl/sharedStrings.xml><?xml version="1.0" encoding="utf-8"?>
<sst xmlns="http://schemas.openxmlformats.org/spreadsheetml/2006/main" count="77" uniqueCount="41">
  <si>
    <t>STI   EDUCATION</t>
  </si>
  <si>
    <t>STI Myanmar College (Mandalay Campus)</t>
  </si>
  <si>
    <t>BEng (Hons) Engineering</t>
  </si>
  <si>
    <t>Intake 18 - Pre-University Foundation Result Combined</t>
  </si>
  <si>
    <t>No</t>
  </si>
  <si>
    <t>Roll No</t>
  </si>
  <si>
    <t>Student ID</t>
  </si>
  <si>
    <t>Name
(English)</t>
  </si>
  <si>
    <t>S1</t>
  </si>
  <si>
    <t>S2</t>
  </si>
  <si>
    <t>S1 Total</t>
  </si>
  <si>
    <t>S2 Total</t>
  </si>
  <si>
    <t>G.P.A</t>
  </si>
  <si>
    <t>Semester Wise Remark</t>
  </si>
  <si>
    <t>Total (S1+S2)</t>
  </si>
  <si>
    <t>Cumm:
G.P.A</t>
  </si>
  <si>
    <t>Average Total Mark</t>
  </si>
  <si>
    <t>Final Remark</t>
  </si>
  <si>
    <t>Final Grade (New calculation)</t>
  </si>
  <si>
    <t>Resit Module</t>
  </si>
  <si>
    <t>Mathematics I
(BE 1101)</t>
  </si>
  <si>
    <t>Physics
(BE 1102)</t>
  </si>
  <si>
    <t>Chemistry
(BE 1103)</t>
  </si>
  <si>
    <t>Information Technology
(CE 1105)</t>
  </si>
  <si>
    <t>Fundamental of Drawing and Sketching
(BE 1104)</t>
  </si>
  <si>
    <t xml:space="preserve"> Auto CAD Basics
(BE 1105)</t>
  </si>
  <si>
    <t>Personal Development
(PH 1106 )</t>
  </si>
  <si>
    <t>Geology &amp; Practical Skills for Engineers
(BE 1109)</t>
  </si>
  <si>
    <t>CU</t>
  </si>
  <si>
    <t>Marks</t>
  </si>
  <si>
    <t>G</t>
  </si>
  <si>
    <t>G.P</t>
  </si>
  <si>
    <t>S1 CU</t>
  </si>
  <si>
    <t>S1 Marks</t>
  </si>
  <si>
    <t>S1 
G.P</t>
  </si>
  <si>
    <t>S2 CU</t>
  </si>
  <si>
    <t>S2 Marks</t>
  </si>
  <si>
    <t>S2 
G.P</t>
  </si>
  <si>
    <t>GP</t>
  </si>
  <si>
    <t>STI</t>
  </si>
  <si>
    <t>Pa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</si>
</sst>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vertical="center" wrapText="1"/>
    </xf>
    <xf numFmtId="0" fontId="4" fillId="0" borderId="1" xfId="1" applyFont="1" applyBorder="1" applyAlignment="1">
      <alignment vertic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1" fontId="8" fillId="4" borderId="2" xfId="1" applyNumberFormat="1" applyFont="1" applyFill="1" applyBorder="1" applyAlignment="1">
      <alignment horizontal="center" vertical="center"/>
    </xf>
    <xf numFmtId="1" fontId="8" fillId="0" borderId="2" xfId="1" applyNumberFormat="1" applyFont="1" applyBorder="1" applyAlignment="1">
      <alignment horizontal="center" vertical="center"/>
    </xf>
    <xf numFmtId="164" fontId="8" fillId="0" borderId="2" xfId="1" applyNumberFormat="1" applyFont="1" applyBorder="1" applyAlignment="1">
      <alignment horizontal="center" vertical="center"/>
    </xf>
    <xf numFmtId="2" fontId="8" fillId="0" borderId="2" xfId="1" applyNumberFormat="1" applyFont="1" applyBorder="1" applyAlignment="1">
      <alignment horizontal="center" vertical="center"/>
    </xf>
    <xf numFmtId="2" fontId="8" fillId="2" borderId="2" xfId="1" applyNumberFormat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</cellXfs>
  <cellStyles count="2">
    <cellStyle name="Normal" xfId="0" builtinId="0"/>
    <cellStyle name="Normal 2" xfId="1" xr:uid="{0B8066F3-D03D-4A19-BACA-C04F47DF4618}"/>
  </cellStyles>
  <dxfs count="7"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am%20Data\Result\18BE\2nd%20Sem\Sample%20Foundation%20Comined%20Result%20Dec''25.xlsx" TargetMode="External"/><Relationship Id="rId1" Type="http://schemas.openxmlformats.org/officeDocument/2006/relationships/externalLinkPath" Target="file:///D:\Exam%20Data\Result\18BE\2nd%20Sem\Sample%20Foundation%20Comined%20Result%20Dec''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%20backup\Training\All%20%20of%20the%20Exam\Result\BE%20result\Intake%20I%20BE%20First%20year\1st%20Semester\Management%20(Intake%20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st%20Semester\Management%20(Intake%20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TI%20Admin\Desktop\Daw%20Chu%20Chu\STI%20Data\TRAINING\Student%20Database\4th%20Intake%20(Aug%2031-Mar%2013)\Student%20Database%20Intake%204%20CBM%20CFS-31-Aug-201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ngtech\Desktop\Exam%20Result%20for%20NMC\Intake1\INTAKE%201_Internal\1%20CFS%20Marks%20Calculate%20Intake%201_2012-13_FINAL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 Foun Moder(Civil&amp;Archi)"/>
      <sheetName val="Maths"/>
      <sheetName val="Physics"/>
      <sheetName val="Chemistry"/>
      <sheetName val="Eng (2nd Sem)"/>
      <sheetName val="Progress Result "/>
      <sheetName val="IT"/>
      <sheetName val="Geology &amp; Practical Skills"/>
      <sheetName val="AutoCAD"/>
      <sheetName val=" Fun of Drawing"/>
      <sheetName val="English(1st Sem)"/>
      <sheetName val="Personal Develop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ing"/>
      <sheetName val="BM 1101 Marks(1st) Oct 2013"/>
    </sheetNames>
    <sheetDataSet>
      <sheetData sheetId="0">
        <row r="2">
          <cell r="B2" t="str">
            <v>A+</v>
          </cell>
          <cell r="D2">
            <v>91</v>
          </cell>
        </row>
        <row r="4">
          <cell r="D4">
            <v>81</v>
          </cell>
        </row>
        <row r="7">
          <cell r="B7" t="str">
            <v>B-</v>
          </cell>
        </row>
        <row r="8">
          <cell r="D8">
            <v>51</v>
          </cell>
        </row>
        <row r="13">
          <cell r="D13" t="str">
            <v>Absent</v>
          </cell>
        </row>
        <row r="14">
          <cell r="B14" t="str">
            <v>F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ing"/>
      <sheetName val="BM 1101 Marks(1st) Oct 2013"/>
    </sheetNames>
    <sheetDataSet>
      <sheetData sheetId="0">
        <row r="2">
          <cell r="B2" t="str">
            <v>A+</v>
          </cell>
          <cell r="D2">
            <v>91</v>
          </cell>
        </row>
        <row r="4">
          <cell r="D4">
            <v>81</v>
          </cell>
        </row>
        <row r="7">
          <cell r="B7" t="str">
            <v>B-</v>
          </cell>
        </row>
        <row r="8">
          <cell r="D8">
            <v>51</v>
          </cell>
        </row>
        <row r="13">
          <cell r="D13" t="str">
            <v>Absent</v>
          </cell>
        </row>
        <row r="14">
          <cell r="B14" t="str">
            <v>F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Intake 4"/>
      <sheetName val="Daily Student Lists Checked"/>
      <sheetName val="Sheet1"/>
      <sheetName val="Daily Student Lists(Auto)"/>
      <sheetName val="Sheet5"/>
      <sheetName val="Sheet3"/>
      <sheetName val="Sheet4"/>
      <sheetName val="Sheet6"/>
      <sheetName val="Sheet7"/>
      <sheetName val="Sheet8"/>
      <sheetName val="Student Database Intake 4 CBM C"/>
    </sheetNames>
    <sheetDataSet>
      <sheetData sheetId="0">
        <row r="2">
          <cell r="A2" t="str">
            <v>r</v>
          </cell>
          <cell r="H2">
            <v>20090</v>
          </cell>
          <cell r="I2" t="str">
            <v>Section A</v>
          </cell>
        </row>
        <row r="3">
          <cell r="H3">
            <v>36526</v>
          </cell>
          <cell r="I3" t="str">
            <v>Section B</v>
          </cell>
        </row>
        <row r="4">
          <cell r="I4" t="str">
            <v>Section C</v>
          </cell>
        </row>
        <row r="5">
          <cell r="I5" t="str">
            <v>Section D</v>
          </cell>
        </row>
        <row r="6">
          <cell r="I6" t="str">
            <v>Section E</v>
          </cell>
        </row>
        <row r="7">
          <cell r="I7" t="str">
            <v>Section F</v>
          </cell>
        </row>
        <row r="8">
          <cell r="I8" t="str">
            <v>Section G</v>
          </cell>
        </row>
        <row r="9">
          <cell r="I9" t="str">
            <v>Section H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ing"/>
      <sheetName val="Moderation CFS (Marks)"/>
      <sheetName val="CFS (Result Stu)Grade"/>
      <sheetName val="CFS (Marks)"/>
      <sheetName val="FS 1101 Marks(1st)Jan12 "/>
      <sheetName val="FS 1102 Marks(1st)Jan12 "/>
      <sheetName val="FS 1103 Marks(1st)Jan12 "/>
      <sheetName val="FS 1104 Marks(1st)Jan12 "/>
      <sheetName val="FS 1105 Marks(1st)Jan12 "/>
      <sheetName val="FS 1106 Marks(1st)Jan12 "/>
    </sheetNames>
    <sheetDataSet>
      <sheetData sheetId="0">
        <row r="20">
          <cell r="A20" t="str">
            <v xml:space="preserve">FS 1101 </v>
          </cell>
        </row>
        <row r="21">
          <cell r="A21" t="str">
            <v>FS 1102</v>
          </cell>
        </row>
        <row r="22">
          <cell r="A22" t="str">
            <v xml:space="preserve">FS 1103 </v>
          </cell>
        </row>
        <row r="23">
          <cell r="A23" t="str">
            <v xml:space="preserve">FS 1104 </v>
          </cell>
        </row>
        <row r="24">
          <cell r="A24" t="str">
            <v xml:space="preserve">FS 1105 </v>
          </cell>
        </row>
        <row r="25">
          <cell r="A25" t="str">
            <v xml:space="preserve">FS 1106 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9C00-EFCE-48FF-99F1-E5D74EAC729B}">
  <sheetPr>
    <tabColor rgb="FF66FF33"/>
  </sheetPr>
  <dimension ref="A1:BM14"/>
  <sheetViews>
    <sheetView tabSelected="1" zoomScale="80" zoomScaleNormal="80" workbookViewId="0">
      <selection activeCell="AB15" sqref="AB15"/>
    </sheetView>
  </sheetViews>
  <sheetFormatPr defaultColWidth="9.140625" defaultRowHeight="30" customHeight="1" x14ac:dyDescent="0.25"/>
  <cols>
    <col min="1" max="1" width="4.85546875" style="4" customWidth="1"/>
    <col min="2" max="2" width="4.5703125" style="4" hidden="1" customWidth="1"/>
    <col min="3" max="3" width="18.42578125" style="4" customWidth="1"/>
    <col min="4" max="4" width="21" style="31" customWidth="1"/>
    <col min="5" max="36" width="5" style="4" customWidth="1"/>
    <col min="37" max="42" width="5.7109375" style="4" customWidth="1"/>
    <col min="43" max="44" width="5.28515625" style="4" customWidth="1"/>
    <col min="45" max="46" width="5.5703125" style="4" customWidth="1"/>
    <col min="47" max="47" width="6.28515625" style="4" customWidth="1"/>
    <col min="48" max="48" width="6.7109375" style="4" customWidth="1"/>
    <col min="49" max="49" width="6.28515625" style="4" customWidth="1"/>
    <col min="50" max="50" width="6.7109375" style="4" customWidth="1"/>
    <col min="51" max="51" width="8" style="4" customWidth="1"/>
    <col min="52" max="52" width="9.42578125" style="4" customWidth="1"/>
    <col min="53" max="53" width="9.42578125" style="32" customWidth="1"/>
    <col min="54" max="55" width="6.85546875" style="4" customWidth="1"/>
    <col min="56" max="56" width="6.85546875" style="37" customWidth="1"/>
    <col min="57" max="57" width="6.140625" style="5" customWidth="1"/>
    <col min="58" max="61" width="6.85546875" style="5" customWidth="1"/>
    <col min="62" max="64" width="9.140625" style="5" customWidth="1"/>
    <col min="65" max="65" width="9.140625" style="5" hidden="1" customWidth="1"/>
    <col min="66" max="76" width="9.140625" style="5" customWidth="1"/>
    <col min="77" max="16384" width="9.140625" style="5"/>
  </cols>
  <sheetData>
    <row r="1" spans="1:61" ht="42.75" customHeight="1" x14ac:dyDescent="0.25">
      <c r="A1" s="1" t="s">
        <v>0</v>
      </c>
      <c r="B1" s="1"/>
      <c r="C1" s="2"/>
      <c r="D1" s="2"/>
      <c r="E1" s="2"/>
      <c r="F1" s="2"/>
      <c r="G1" s="3"/>
      <c r="H1" s="2"/>
      <c r="J1" s="2"/>
      <c r="K1" s="3"/>
      <c r="L1" s="2"/>
      <c r="M1" s="3"/>
      <c r="N1" s="5"/>
      <c r="P1" s="3"/>
      <c r="Q1" s="3"/>
      <c r="R1" s="3"/>
      <c r="S1" s="3"/>
      <c r="T1" s="3"/>
      <c r="U1" s="6" t="s">
        <v>1</v>
      </c>
      <c r="V1" s="2"/>
      <c r="W1" s="2"/>
      <c r="X1" s="2"/>
      <c r="Y1" s="2"/>
      <c r="Z1" s="2"/>
      <c r="AA1" s="2"/>
      <c r="AB1" s="3"/>
      <c r="AC1" s="2"/>
      <c r="AD1" s="2"/>
      <c r="AE1" s="2"/>
      <c r="AF1" s="3"/>
      <c r="AG1" s="2"/>
      <c r="AH1" s="2"/>
      <c r="AI1" s="2"/>
      <c r="AJ1" s="2"/>
      <c r="AK1" s="2"/>
      <c r="AL1" s="2"/>
      <c r="AM1" s="2"/>
      <c r="AN1" s="3"/>
      <c r="AO1" s="3"/>
      <c r="AP1" s="3"/>
      <c r="AQ1" s="3"/>
      <c r="AR1" s="3"/>
      <c r="AS1" s="3"/>
      <c r="AT1" s="3"/>
      <c r="AU1" s="3"/>
      <c r="AV1" s="3"/>
      <c r="AW1" s="3"/>
      <c r="AX1" s="5"/>
      <c r="AY1" s="5"/>
      <c r="AZ1" s="5"/>
      <c r="BA1" s="5"/>
      <c r="BB1" s="5"/>
      <c r="BC1" s="5"/>
      <c r="BD1" s="5"/>
    </row>
    <row r="2" spans="1:61" ht="42.75" customHeight="1" x14ac:dyDescent="0.25">
      <c r="A2" s="7"/>
      <c r="B2" s="7"/>
      <c r="C2" s="6"/>
      <c r="D2" s="6"/>
      <c r="E2" s="6"/>
      <c r="F2" s="6"/>
      <c r="G2" s="7"/>
      <c r="H2" s="6"/>
      <c r="I2" s="6"/>
      <c r="K2" s="7"/>
      <c r="L2" s="6"/>
      <c r="M2" s="6"/>
      <c r="N2" s="6"/>
      <c r="O2" s="7"/>
      <c r="P2" s="6"/>
      <c r="Q2" s="6"/>
      <c r="R2" s="6"/>
      <c r="S2" s="5"/>
      <c r="T2" s="7"/>
      <c r="U2" s="2"/>
      <c r="V2" s="2" t="s">
        <v>2</v>
      </c>
      <c r="W2" s="6"/>
      <c r="X2" s="6"/>
      <c r="Y2" s="6"/>
      <c r="Z2" s="6"/>
      <c r="AA2" s="6"/>
      <c r="AB2" s="6"/>
      <c r="AC2" s="7"/>
      <c r="AD2" s="6"/>
      <c r="AE2" s="6"/>
      <c r="AF2" s="7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7"/>
      <c r="AU2" s="7"/>
      <c r="AV2" s="7"/>
      <c r="AW2" s="7"/>
      <c r="AX2" s="5"/>
      <c r="AY2" s="5"/>
      <c r="AZ2" s="5"/>
      <c r="BA2" s="8"/>
      <c r="BB2" s="5"/>
      <c r="BC2" s="5"/>
      <c r="BD2" s="5"/>
    </row>
    <row r="3" spans="1:61" ht="42.75" customHeight="1" x14ac:dyDescent="0.25">
      <c r="A3" s="7"/>
      <c r="B3" s="7"/>
      <c r="C3" s="6"/>
      <c r="D3" s="6"/>
      <c r="E3" s="6"/>
      <c r="F3" s="6"/>
      <c r="G3" s="7"/>
      <c r="H3" s="6"/>
      <c r="I3" s="6"/>
      <c r="K3" s="7"/>
      <c r="L3" s="6"/>
      <c r="M3" s="6"/>
      <c r="N3" s="6"/>
      <c r="O3" s="7"/>
      <c r="P3" s="6"/>
      <c r="Q3" s="6"/>
      <c r="R3" s="6"/>
      <c r="S3" s="6"/>
      <c r="T3" s="2" t="s">
        <v>3</v>
      </c>
      <c r="U3" s="6"/>
      <c r="V3" s="6"/>
      <c r="W3" s="7"/>
      <c r="X3" s="6"/>
      <c r="Y3" s="6"/>
      <c r="Z3" s="6"/>
      <c r="AA3" s="6"/>
      <c r="AB3" s="6"/>
      <c r="AC3" s="6"/>
      <c r="AD3" s="6"/>
      <c r="AE3" s="7"/>
      <c r="AF3" s="6"/>
      <c r="AG3" s="6"/>
      <c r="AH3" s="6"/>
      <c r="AI3" s="7"/>
      <c r="AJ3" s="6"/>
      <c r="AK3" s="6"/>
      <c r="AL3" s="7"/>
      <c r="AM3" s="6"/>
      <c r="AN3" s="6"/>
      <c r="AO3" s="6"/>
      <c r="AP3" s="6"/>
      <c r="AQ3" s="6"/>
      <c r="AR3" s="6"/>
      <c r="AS3" s="6"/>
      <c r="AT3" s="7"/>
      <c r="AU3" s="7"/>
      <c r="AV3" s="7"/>
      <c r="AW3" s="7"/>
      <c r="AX3" s="5"/>
      <c r="AY3" s="5"/>
      <c r="AZ3" s="5"/>
      <c r="BA3" s="8"/>
      <c r="BB3" s="5"/>
      <c r="BC3" s="5"/>
      <c r="BD3" s="5"/>
    </row>
    <row r="4" spans="1:61" ht="24" customHeight="1" thickBot="1" x14ac:dyDescent="0.3">
      <c r="A4" s="7"/>
      <c r="B4" s="7"/>
      <c r="C4" s="6"/>
      <c r="D4" s="6"/>
      <c r="E4" s="6"/>
      <c r="F4" s="6"/>
      <c r="G4" s="7"/>
      <c r="H4" s="6"/>
      <c r="J4" s="6"/>
      <c r="K4" s="7"/>
      <c r="L4" s="6"/>
      <c r="M4" s="6"/>
      <c r="N4" s="6"/>
      <c r="O4" s="7"/>
      <c r="P4" s="6"/>
      <c r="Q4" s="6"/>
      <c r="R4" s="6"/>
      <c r="S4" s="6"/>
      <c r="T4" s="6"/>
      <c r="U4" s="6"/>
      <c r="V4" s="6"/>
      <c r="W4" s="7"/>
      <c r="X4" s="6"/>
      <c r="Y4" s="6"/>
      <c r="Z4" s="6"/>
      <c r="AA4" s="6"/>
      <c r="AB4" s="6"/>
      <c r="AC4" s="6"/>
      <c r="AD4" s="6"/>
      <c r="AE4" s="7"/>
      <c r="AF4" s="6"/>
      <c r="AG4" s="6"/>
      <c r="AH4" s="6"/>
      <c r="AI4" s="7"/>
      <c r="AJ4" s="9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5"/>
      <c r="AY4" s="5"/>
      <c r="AZ4" s="5"/>
      <c r="BA4" s="5"/>
      <c r="BB4" s="5"/>
      <c r="BC4" s="5"/>
      <c r="BD4" s="5"/>
    </row>
    <row r="5" spans="1:61" ht="21.95" customHeight="1" x14ac:dyDescent="0.25">
      <c r="A5" s="10" t="s">
        <v>4</v>
      </c>
      <c r="B5" s="11" t="s">
        <v>5</v>
      </c>
      <c r="C5" s="10" t="s">
        <v>6</v>
      </c>
      <c r="D5" s="10" t="s">
        <v>7</v>
      </c>
      <c r="E5" s="10" t="s">
        <v>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 t="s">
        <v>9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 t="s">
        <v>10</v>
      </c>
      <c r="AL5" s="10"/>
      <c r="AM5" s="10"/>
      <c r="AN5" s="10" t="s">
        <v>11</v>
      </c>
      <c r="AO5" s="10"/>
      <c r="AP5" s="10"/>
      <c r="AQ5" s="10" t="s">
        <v>12</v>
      </c>
      <c r="AR5" s="10"/>
      <c r="AS5" s="10" t="s">
        <v>13</v>
      </c>
      <c r="AT5" s="10"/>
      <c r="AU5" s="12" t="s">
        <v>14</v>
      </c>
      <c r="AV5" s="12"/>
      <c r="AW5" s="12"/>
      <c r="AX5" s="10" t="s">
        <v>15</v>
      </c>
      <c r="AY5" s="13" t="s">
        <v>16</v>
      </c>
      <c r="AZ5" s="10" t="s">
        <v>17</v>
      </c>
      <c r="BA5" s="13" t="s">
        <v>18</v>
      </c>
      <c r="BB5" s="10" t="s">
        <v>19</v>
      </c>
      <c r="BC5" s="10"/>
      <c r="BD5" s="10"/>
      <c r="BE5" s="10"/>
      <c r="BF5" s="10"/>
      <c r="BG5" s="10"/>
      <c r="BH5" s="10"/>
      <c r="BI5" s="10"/>
    </row>
    <row r="6" spans="1:61" s="15" customFormat="1" ht="54.75" customHeight="1" x14ac:dyDescent="0.25">
      <c r="A6" s="10"/>
      <c r="B6" s="11"/>
      <c r="C6" s="10"/>
      <c r="D6" s="10"/>
      <c r="E6" s="10" t="s">
        <v>20</v>
      </c>
      <c r="F6" s="10"/>
      <c r="G6" s="10"/>
      <c r="H6" s="10"/>
      <c r="I6" s="10" t="s">
        <v>21</v>
      </c>
      <c r="J6" s="10"/>
      <c r="K6" s="10"/>
      <c r="L6" s="10"/>
      <c r="M6" s="10" t="s">
        <v>22</v>
      </c>
      <c r="N6" s="10"/>
      <c r="O6" s="10"/>
      <c r="P6" s="10"/>
      <c r="Q6" s="10" t="s">
        <v>23</v>
      </c>
      <c r="R6" s="10"/>
      <c r="S6" s="10"/>
      <c r="T6" s="10"/>
      <c r="U6" s="10" t="s">
        <v>24</v>
      </c>
      <c r="V6" s="10"/>
      <c r="W6" s="10"/>
      <c r="X6" s="10"/>
      <c r="Y6" s="10" t="s">
        <v>25</v>
      </c>
      <c r="Z6" s="10"/>
      <c r="AA6" s="10"/>
      <c r="AB6" s="10"/>
      <c r="AC6" s="10" t="s">
        <v>26</v>
      </c>
      <c r="AD6" s="10"/>
      <c r="AE6" s="10"/>
      <c r="AF6" s="10"/>
      <c r="AG6" s="10" t="s">
        <v>27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2"/>
      <c r="AV6" s="12"/>
      <c r="AW6" s="12"/>
      <c r="AX6" s="10"/>
      <c r="AY6" s="14"/>
      <c r="AZ6" s="10"/>
      <c r="BA6" s="14"/>
      <c r="BB6" s="10"/>
      <c r="BC6" s="10"/>
      <c r="BD6" s="10"/>
      <c r="BE6" s="10"/>
      <c r="BF6" s="10"/>
      <c r="BG6" s="10"/>
      <c r="BH6" s="10"/>
      <c r="BI6" s="10"/>
    </row>
    <row r="7" spans="1:61" s="15" customFormat="1" ht="46.5" customHeight="1" x14ac:dyDescent="0.25">
      <c r="A7" s="10"/>
      <c r="B7" s="11"/>
      <c r="C7" s="10"/>
      <c r="D7" s="10"/>
      <c r="E7" s="16" t="s">
        <v>28</v>
      </c>
      <c r="F7" s="16" t="s">
        <v>29</v>
      </c>
      <c r="G7" s="16" t="s">
        <v>30</v>
      </c>
      <c r="H7" s="16" t="s">
        <v>31</v>
      </c>
      <c r="I7" s="16" t="s">
        <v>28</v>
      </c>
      <c r="J7" s="16" t="s">
        <v>29</v>
      </c>
      <c r="K7" s="16" t="s">
        <v>30</v>
      </c>
      <c r="L7" s="16" t="s">
        <v>31</v>
      </c>
      <c r="M7" s="16" t="s">
        <v>28</v>
      </c>
      <c r="N7" s="16" t="s">
        <v>29</v>
      </c>
      <c r="O7" s="16" t="s">
        <v>30</v>
      </c>
      <c r="P7" s="16" t="s">
        <v>31</v>
      </c>
      <c r="Q7" s="16" t="s">
        <v>28</v>
      </c>
      <c r="R7" s="16" t="s">
        <v>29</v>
      </c>
      <c r="S7" s="16" t="s">
        <v>30</v>
      </c>
      <c r="T7" s="16" t="s">
        <v>31</v>
      </c>
      <c r="U7" s="16" t="s">
        <v>28</v>
      </c>
      <c r="V7" s="16" t="s">
        <v>29</v>
      </c>
      <c r="W7" s="16" t="s">
        <v>30</v>
      </c>
      <c r="X7" s="16" t="s">
        <v>31</v>
      </c>
      <c r="Y7" s="16" t="s">
        <v>28</v>
      </c>
      <c r="Z7" s="16" t="s">
        <v>29</v>
      </c>
      <c r="AA7" s="16" t="s">
        <v>30</v>
      </c>
      <c r="AB7" s="16" t="s">
        <v>31</v>
      </c>
      <c r="AC7" s="16" t="s">
        <v>28</v>
      </c>
      <c r="AD7" s="16" t="s">
        <v>29</v>
      </c>
      <c r="AE7" s="16" t="s">
        <v>30</v>
      </c>
      <c r="AF7" s="16" t="s">
        <v>31</v>
      </c>
      <c r="AG7" s="16" t="s">
        <v>28</v>
      </c>
      <c r="AH7" s="16" t="s">
        <v>29</v>
      </c>
      <c r="AI7" s="16" t="s">
        <v>30</v>
      </c>
      <c r="AJ7" s="16" t="s">
        <v>31</v>
      </c>
      <c r="AK7" s="16" t="s">
        <v>32</v>
      </c>
      <c r="AL7" s="16" t="s">
        <v>33</v>
      </c>
      <c r="AM7" s="16" t="s">
        <v>34</v>
      </c>
      <c r="AN7" s="16" t="s">
        <v>35</v>
      </c>
      <c r="AO7" s="16" t="s">
        <v>36</v>
      </c>
      <c r="AP7" s="16" t="s">
        <v>37</v>
      </c>
      <c r="AQ7" s="16" t="s">
        <v>8</v>
      </c>
      <c r="AR7" s="16" t="s">
        <v>9</v>
      </c>
      <c r="AS7" s="16" t="s">
        <v>8</v>
      </c>
      <c r="AT7" s="16" t="s">
        <v>9</v>
      </c>
      <c r="AU7" s="16" t="s">
        <v>28</v>
      </c>
      <c r="AV7" s="16" t="s">
        <v>29</v>
      </c>
      <c r="AW7" s="16" t="s">
        <v>38</v>
      </c>
      <c r="AX7" s="10"/>
      <c r="AY7" s="17"/>
      <c r="AZ7" s="10"/>
      <c r="BA7" s="17"/>
      <c r="BB7" s="10" t="s">
        <v>8</v>
      </c>
      <c r="BC7" s="10"/>
      <c r="BD7" s="10"/>
      <c r="BE7" s="10"/>
      <c r="BF7" s="10" t="s">
        <v>9</v>
      </c>
      <c r="BG7" s="10"/>
      <c r="BH7" s="10"/>
      <c r="BI7" s="10"/>
    </row>
    <row r="8" spans="1:61" ht="46.5" customHeight="1" x14ac:dyDescent="0.25">
      <c r="A8" s="18">
        <v>1</v>
      </c>
      <c r="B8" s="19">
        <v>1</v>
      </c>
      <c r="C8" s="20" t="s">
        <v>39</v>
      </c>
      <c r="D8" s="20" t="s">
        <v>40</v>
      </c>
      <c r="E8" s="21">
        <v>15</v>
      </c>
      <c r="F8" s="22">
        <v>100</v>
      </c>
      <c r="G8" s="23" t="str">
        <f t="shared" ref="G8" si="0">IF(ISNUMBER(F8), IF(F8&lt;25,"F", IF(F8&lt;30,"D", IF(F8&lt;35, "D+",IF(F8&lt;40, "C-", IF(F8&lt;46, "C", IF(F8&lt;51,"C+", IF(F8&lt;56,"B-", IF(F8&lt;65,"B", IF(F8&lt;70,"B+", IF(F8&lt;75,"A-", IF(F8&lt;90,"A",IF(F8&lt;101,"A+"))) ))))))))), "F")</f>
        <v>A+</v>
      </c>
      <c r="H8" s="24">
        <f t="shared" ref="H8" si="1">IF(ISNUMBER(F8), IF(F8&lt;25,0, IF(F8&lt;30,1, IF(F8&lt;35,1.33, IF(F8&lt;40, 1.67,IF(F8&lt;46, 2, IF(F8&lt;51, 2.33, IF(F8&lt;56,2.67, IF(F8&lt;65,3, IF(F8&lt;70,3.33, IF(F8&lt;75,3.67, IF(F8&lt;90,4, IF(F8&lt;101,4))) ))))))))), 0)</f>
        <v>4</v>
      </c>
      <c r="I8" s="21">
        <v>15</v>
      </c>
      <c r="J8" s="22">
        <v>100</v>
      </c>
      <c r="K8" s="23" t="str">
        <f t="shared" ref="K8" si="2">IF(ISNUMBER(J8), IF(J8&lt;25,"F", IF(J8&lt;30,"D", IF(J8&lt;35, "D+",IF(J8&lt;40, "C-", IF(J8&lt;46, "C", IF(J8&lt;51,"C+", IF(J8&lt;56,"B-", IF(J8&lt;65,"B", IF(J8&lt;70,"B+", IF(J8&lt;75,"A-", IF(J8&lt;90,"A",IF(J8&lt;101,"A+"))) ))))))))), "F")</f>
        <v>A+</v>
      </c>
      <c r="L8" s="24">
        <f t="shared" ref="L8" si="3">IF(ISNUMBER(J8), IF(J8&lt;25,0, IF(J8&lt;30,1, IF(J8&lt;35,1.33, IF(J8&lt;40, 1.67,IF(J8&lt;46, 2, IF(J8&lt;51, 2.33, IF(J8&lt;56,2.67, IF(J8&lt;65,3, IF(J8&lt;70,3.33, IF(J8&lt;75,3.67, IF(J8&lt;90,4, IF(J8&lt;101,4))) ))))))))), 0)</f>
        <v>4</v>
      </c>
      <c r="M8" s="21">
        <v>15</v>
      </c>
      <c r="N8" s="22">
        <v>100</v>
      </c>
      <c r="O8" s="23" t="str">
        <f t="shared" ref="O8" si="4">IF(ISNUMBER(N8), IF(N8&lt;25,"F", IF(N8&lt;30,"D", IF(N8&lt;35, "D+",IF(N8&lt;40, "C-", IF(N8&lt;46, "C", IF(N8&lt;51,"C+", IF(N8&lt;56,"B-", IF(N8&lt;65,"B", IF(N8&lt;70,"B+", IF(N8&lt;75,"A-", IF(N8&lt;90,"A",IF(N8&lt;101,"A+"))) ))))))))), "F")</f>
        <v>A+</v>
      </c>
      <c r="P8" s="24">
        <f t="shared" ref="P8" si="5">IF(ISNUMBER(N8), IF(N8&lt;25,0, IF(N8&lt;30,1, IF(N8&lt;35,1.33, IF(N8&lt;40, 1.67,IF(N8&lt;46, 2, IF(N8&lt;51, 2.33, IF(N8&lt;56,2.67, IF(N8&lt;65,3, IF(N8&lt;70,3.33, IF(N8&lt;75,3.67, IF(N8&lt;90,4, IF(N8&lt;101,4))) ))))))))), 0)</f>
        <v>4</v>
      </c>
      <c r="Q8" s="25">
        <v>15</v>
      </c>
      <c r="R8" s="22">
        <v>100</v>
      </c>
      <c r="S8" s="23" t="str">
        <f t="shared" ref="S8" si="6">IF(ISNUMBER(R8), IF(R8&lt;25,"F", IF(R8&lt;30,"D", IF(R8&lt;35, "D+",IF(R8&lt;40, "C-", IF(R8&lt;46, "C", IF(R8&lt;51,"C+", IF(R8&lt;56,"B-", IF(R8&lt;65,"B", IF(R8&lt;70,"B+", IF(R8&lt;75,"A-", IF(R8&lt;90,"A",IF(R8&lt;101,"A+"))) ))))))))), "F")</f>
        <v>A+</v>
      </c>
      <c r="T8" s="24">
        <f t="shared" ref="T8" si="7">IF(ISNUMBER(R8), IF(R8&lt;25,0, IF(R8&lt;30,1, IF(R8&lt;35,1.33, IF(R8&lt;40, 1.67,IF(R8&lt;46, 2, IF(R8&lt;51, 2.33, IF(R8&lt;56,2.67, IF(R8&lt;65,3, IF(R8&lt;70,3.33, IF(R8&lt;75,3.67, IF(R8&lt;90,4, IF(R8&lt;101,4))) ))))))))), 0)</f>
        <v>4</v>
      </c>
      <c r="U8" s="25">
        <v>15</v>
      </c>
      <c r="V8" s="22">
        <v>100</v>
      </c>
      <c r="W8" s="23" t="str">
        <f t="shared" ref="W8" si="8">IF(ISNUMBER(V8), IF(V8&lt;25,"F", IF(V8&lt;30,"D", IF(V8&lt;35, "D+",IF(V8&lt;40, "C-", IF(V8&lt;46, "C", IF(V8&lt;51,"C+", IF(V8&lt;56,"B-", IF(V8&lt;65,"B", IF(V8&lt;70,"B+", IF(V8&lt;75,"A-", IF(V8&lt;90,"A",IF(V8&lt;101,"A+"))) ))))))))), "F")</f>
        <v>A+</v>
      </c>
      <c r="X8" s="24">
        <f t="shared" ref="X8" si="9">IF(ISNUMBER(V8), IF(V8&lt;25,0, IF(V8&lt;30,1, IF(V8&lt;35,1.33, IF(V8&lt;40, 1.67,IF(V8&lt;46, 2, IF(V8&lt;51, 2.33, IF(V8&lt;56,2.67, IF(V8&lt;65,3, IF(V8&lt;70,3.33, IF(V8&lt;75,3.67, IF(V8&lt;90,4, IF(V8&lt;101,4))) ))))))))), 0)</f>
        <v>4</v>
      </c>
      <c r="Y8" s="25">
        <v>15</v>
      </c>
      <c r="Z8" s="22">
        <v>100</v>
      </c>
      <c r="AA8" s="23" t="str">
        <f t="shared" ref="AA8" si="10">IF(ISNUMBER(Z8), IF(Z8&lt;25,"F", IF(Z8&lt;30,"D", IF(Z8&lt;35, "D+",IF(Z8&lt;40, "C-", IF(Z8&lt;46, "C", IF(Z8&lt;51,"C+", IF(Z8&lt;56,"B-", IF(Z8&lt;65,"B", IF(Z8&lt;70,"B+", IF(Z8&lt;75,"A-", IF(Z8&lt;90,"A",IF(Z8&lt;101,"A+"))) ))))))))), "F")</f>
        <v>A+</v>
      </c>
      <c r="AB8" s="24">
        <f t="shared" ref="AB8" si="11">IF(ISNUMBER(Z8), IF(Z8&lt;25,0, IF(Z8&lt;30,1, IF(Z8&lt;35,1.33, IF(Z8&lt;40, 1.67,IF(Z8&lt;46, 2, IF(Z8&lt;51, 2.33, IF(Z8&lt;56,2.67, IF(Z8&lt;65,3, IF(Z8&lt;70,3.33, IF(Z8&lt;75,3.67, IF(Z8&lt;90,4, IF(Z8&lt;101,4))) ))))))))), 0)</f>
        <v>4</v>
      </c>
      <c r="AC8" s="21">
        <v>15</v>
      </c>
      <c r="AD8" s="22">
        <v>100</v>
      </c>
      <c r="AE8" s="23" t="str">
        <f t="shared" ref="AE8" si="12">IF(ISNUMBER(AD8), IF(AD8&lt;25,"F", IF(AD8&lt;30,"D", IF(AD8&lt;35, "D+",IF(AD8&lt;40, "C-", IF(AD8&lt;46, "C", IF(AD8&lt;51,"C+", IF(AD8&lt;56,"B-", IF(AD8&lt;65,"B", IF(AD8&lt;70,"B+", IF(AD8&lt;75,"A-", IF(AD8&lt;90,"A",IF(AD8&lt;101,"A+"))) ))))))))), "F")</f>
        <v>A+</v>
      </c>
      <c r="AF8" s="24">
        <f t="shared" ref="AF8" si="13">IF(ISNUMBER(AD8), IF(AD8&lt;25,0, IF(AD8&lt;30,1, IF(AD8&lt;35,1.33, IF(AD8&lt;40, 1.67,IF(AD8&lt;46, 2, IF(AD8&lt;51, 2.33, IF(AD8&lt;56,2.67, IF(AD8&lt;65,3, IF(AD8&lt;70,3.33, IF(AD8&lt;75,3.67, IF(AD8&lt;90,4, IF(AD8&lt;101,4))) ))))))))), 0)</f>
        <v>4</v>
      </c>
      <c r="AG8" s="21">
        <v>15</v>
      </c>
      <c r="AH8" s="26">
        <v>100</v>
      </c>
      <c r="AI8" s="23" t="str">
        <f t="shared" ref="AI8" si="14">IF(ISNUMBER(AH8), IF(AH8&lt;25,"F", IF(AH8&lt;30,"D", IF(AH8&lt;35, "D+",IF(AH8&lt;40, "C-", IF(AH8&lt;46, "C", IF(AH8&lt;51,"C+", IF(AH8&lt;56,"B-", IF(AH8&lt;65,"B", IF(AH8&lt;70,"B+", IF(AH8&lt;75,"A-", IF(AH8&lt;90,"A",IF(AH8&lt;101,"A+"))) ))))))))), "F")</f>
        <v>A+</v>
      </c>
      <c r="AJ8" s="24">
        <f t="shared" ref="AJ8" si="15">IF(ISNUMBER(AH8), IF(AH8&lt;25,0, IF(AH8&lt;30,1, IF(AH8&lt;35,1.33, IF(AH8&lt;40, 1.67,IF(AH8&lt;46, 2, IF(AH8&lt;51, 2.33, IF(AH8&lt;56,2.67, IF(AH8&lt;65,3, IF(AH8&lt;70,3.33, IF(AH8&lt;75,3.67, IF(AH8&lt;90,4, IF(AH8&lt;101,4))) ))))))))), 0)</f>
        <v>4</v>
      </c>
      <c r="AK8" s="27">
        <f>SUM(E8,I8,M8,Q8)</f>
        <v>60</v>
      </c>
      <c r="AL8" s="26">
        <f xml:space="preserve"> SUM(F8,J8,N8, R8)</f>
        <v>400</v>
      </c>
      <c r="AM8" s="27">
        <f xml:space="preserve"> SUM(H8,L8,P8,T8)</f>
        <v>16</v>
      </c>
      <c r="AN8" s="27">
        <f>SUM(U8,Y8, AC8,AG8)</f>
        <v>60</v>
      </c>
      <c r="AO8" s="26">
        <f>SUM(V8,Z8,AD8,AH8)</f>
        <v>400</v>
      </c>
      <c r="AP8" s="27">
        <f>SUM(X8,AB8,AF8,AJ8)</f>
        <v>16</v>
      </c>
      <c r="AQ8" s="28">
        <f>((15*H8)+(15*L8)+(15*P8)+(15*T8))/60</f>
        <v>4</v>
      </c>
      <c r="AR8" s="28">
        <f>((15*X8)+(15*AB8)+(15*AF8)+(15*AJ8))/60</f>
        <v>4</v>
      </c>
      <c r="AS8" s="22" t="str">
        <f>IF(F8="W", "W", IF( AND(F8="A",J8="A",N8="A",R8="A"),"A",IF( OR(F8="A",J8="A",N8="A", R8="A"),"Inc", IF( OR(F8&lt;40,J8&lt;40,N8&lt;40, R8&lt;40),"F", "P"))))</f>
        <v>P</v>
      </c>
      <c r="AT8" s="22" t="str">
        <f>IF(V8="W", "W", IF( AND(V8="A", Z8="A", AD8="A", AH8="A"),"A",IF( OR(V8="A",Z8="A", AD8="A", AH8="A"),"Inc", IF( OR(V8&lt;40, Z8&lt;40, AD8&lt;40, AH8&lt;40,),"F", "P"))))</f>
        <v>P</v>
      </c>
      <c r="AU8" s="26">
        <f>SUM(AK8,AN8)</f>
        <v>120</v>
      </c>
      <c r="AV8" s="26">
        <f>SUM(AL8,AO8)</f>
        <v>800</v>
      </c>
      <c r="AW8" s="28">
        <f>SUM(AM8,AP8)</f>
        <v>32</v>
      </c>
      <c r="AX8" s="28">
        <f>IF(AND(AQ8&gt;0,AR8&gt;0),SUM(AQ8:AR8)/2,0)</f>
        <v>4</v>
      </c>
      <c r="AY8" s="29">
        <f>AV8*100/800</f>
        <v>100</v>
      </c>
      <c r="AZ8" s="28" t="str">
        <f>IF( OR(AND(AS8="P",AT8="F"), AND(AS8="F",AT8="P"), AND(AS8="F",AT8="F")), "Failed",IF( OR(AND(AS8="A",AT8="A"), AND(AS8="A",AT8="W"), AND(AS8="W",AT8="A")), "Absent",IF( OR(AND(AS8="F",AT8="W"), AND(AS8="W",AT8="F"), AND(AS8="P",AT8="W"), AND(AS8="W",AT8="P"), AND(AS8="W",AT8="W")), "Withdraw",IF(AND(AS8="P",AT8="P"),"Passed", "Incomplete")) ))</f>
        <v>Passed</v>
      </c>
      <c r="BA8" s="29" t="str">
        <f>IF(ISNUMBER(AY8), IF(AY8&lt;25,"F", IF(AY8&lt;30,"D", IF(AY8&lt;35, "D+",IF(AY8&lt;40, "C-", IF(AY8&lt;46, "C", IF(AY8&lt;51,"C+", IF(AY8&lt;56,"B-", IF(AY8&lt;65,"B", IF(AY8&lt;70,"B+", IF(AY8&lt;75,"A-", IF(AY8&lt;90,"A",IF(AY8&lt;101,"A+"))) ))))))))), "F")</f>
        <v>A+</v>
      </c>
      <c r="BB8" s="30" t="str">
        <f t="shared" ref="BB8" si="16">IF(H8&lt;2,"BE 1101","")</f>
        <v/>
      </c>
      <c r="BC8" s="30" t="str">
        <f t="shared" ref="BC8" si="17">IF(L8&lt;2,"BE 1102","")</f>
        <v/>
      </c>
      <c r="BD8" s="30" t="str">
        <f t="shared" ref="BD8" si="18">IF(P8&lt;2,"BE 1103","")</f>
        <v/>
      </c>
      <c r="BE8" s="30" t="str">
        <f t="shared" ref="BE8" si="19">IF(T8&lt;2,"CE 1105","")</f>
        <v/>
      </c>
      <c r="BF8" s="30" t="str">
        <f t="shared" ref="BF8" si="20">IF(X8&lt;2,"BE 1104","")</f>
        <v/>
      </c>
      <c r="BG8" s="30" t="str">
        <f t="shared" ref="BG8" si="21">IF(AB8&lt;2,"BE 1105","")</f>
        <v/>
      </c>
      <c r="BH8" s="30" t="str">
        <f t="shared" ref="BH8" si="22">IF(AF8&lt;2,"BE 1107","")</f>
        <v/>
      </c>
      <c r="BI8" s="30" t="str">
        <f t="shared" ref="BI8" si="23">IF(AJ8&lt;2,"BE 1108","")</f>
        <v/>
      </c>
    </row>
    <row r="10" spans="1:61" ht="30" customHeight="1" x14ac:dyDescent="0.25">
      <c r="BC10" s="5"/>
      <c r="BD10" s="5"/>
    </row>
    <row r="11" spans="1:61" ht="30" customHeight="1" x14ac:dyDescent="0.25">
      <c r="BC11" s="5"/>
      <c r="BD11" s="5"/>
    </row>
    <row r="12" spans="1:61" ht="30" customHeight="1" x14ac:dyDescent="0.25">
      <c r="AL12" s="33"/>
      <c r="AM12" s="33"/>
      <c r="AN12" s="33"/>
      <c r="AO12" s="33"/>
      <c r="AR12" s="34"/>
      <c r="AS12" s="34"/>
      <c r="AT12" s="34"/>
      <c r="AU12" s="34"/>
      <c r="AV12" s="34"/>
      <c r="AW12" s="34"/>
      <c r="BC12" s="35"/>
      <c r="BD12" s="35"/>
      <c r="BE12" s="35"/>
    </row>
    <row r="13" spans="1:61" ht="30" customHeight="1" x14ac:dyDescent="0.25">
      <c r="AK13" s="36"/>
      <c r="AL13" s="36"/>
      <c r="AM13" s="36"/>
      <c r="AR13" s="34"/>
      <c r="AS13" s="34"/>
      <c r="AT13" s="34"/>
      <c r="AU13" s="34"/>
      <c r="AV13" s="34"/>
      <c r="AW13" s="34"/>
      <c r="BC13" s="35"/>
      <c r="BD13" s="35"/>
      <c r="BE13" s="35"/>
    </row>
    <row r="14" spans="1:61" ht="30" customHeight="1" x14ac:dyDescent="0.25">
      <c r="AR14" s="34"/>
      <c r="AS14" s="34"/>
      <c r="AU14" s="34"/>
      <c r="AV14" s="34"/>
    </row>
  </sheetData>
  <autoFilter ref="A5:BI8" xr:uid="{00000000-0009-0000-0000-000000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hiddenButton="1" showButton="0"/>
    <filterColumn colId="17" hiddenButton="1" showButton="0"/>
    <filterColumn colId="18" hiddenButton="1" showButton="0"/>
    <filterColumn colId="19" hiddenButton="1" showButton="0"/>
    <filterColumn colId="20" showButton="0"/>
    <filterColumn colId="21" showButton="0"/>
    <filterColumn colId="22" showButton="0"/>
    <filterColumn colId="23" showButton="0"/>
    <filterColumn colId="24" hiddenButton="1" showButton="0"/>
    <filterColumn colId="25" hiddenButton="1" showButton="0"/>
    <filterColumn colId="26" hiddenButton="1" showButton="0"/>
    <filterColumn colId="27" hiddenButton="1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2" showButton="0"/>
    <filterColumn colId="44" showButton="0"/>
    <filterColumn colId="53" showButton="0"/>
    <filterColumn colId="54" showButton="0"/>
    <filterColumn colId="55" showButton="0"/>
    <filterColumn colId="56" hiddenButton="1" showButton="0"/>
    <filterColumn colId="57" showButton="0"/>
    <filterColumn colId="58" hiddenButton="1" showButton="0"/>
    <filterColumn colId="59" showButton="0"/>
    <filterColumn colId="60" showButton="0"/>
    <sortState xmlns:xlrd2="http://schemas.microsoft.com/office/spreadsheetml/2017/richdata2" ref="A10:BI18">
      <sortCondition descending="1" ref="AY5:AY9"/>
    </sortState>
  </autoFilter>
  <mergeCells count="27">
    <mergeCell ref="BB7:BE7"/>
    <mergeCell ref="BF7:BI7"/>
    <mergeCell ref="BC12:BE12"/>
    <mergeCell ref="BC13:BE13"/>
    <mergeCell ref="AZ5:AZ7"/>
    <mergeCell ref="BA5:BA7"/>
    <mergeCell ref="BB5:BI6"/>
    <mergeCell ref="E6:H6"/>
    <mergeCell ref="I6:L6"/>
    <mergeCell ref="M6:P6"/>
    <mergeCell ref="Q6:T6"/>
    <mergeCell ref="U6:X6"/>
    <mergeCell ref="Y6:AB6"/>
    <mergeCell ref="AC6:AF6"/>
    <mergeCell ref="AK5:AM6"/>
    <mergeCell ref="AN5:AP6"/>
    <mergeCell ref="AQ5:AR6"/>
    <mergeCell ref="AS5:AT6"/>
    <mergeCell ref="AX5:AX7"/>
    <mergeCell ref="AY5:AY7"/>
    <mergeCell ref="A5:A7"/>
    <mergeCell ref="B5:B7"/>
    <mergeCell ref="C5:C7"/>
    <mergeCell ref="D5:D7"/>
    <mergeCell ref="E5:T5"/>
    <mergeCell ref="U5:AJ5"/>
    <mergeCell ref="AG6:AJ6"/>
  </mergeCells>
  <conditionalFormatting sqref="AZ8:BA8">
    <cfRule type="cellIs" dxfId="6" priority="4" operator="equal">
      <formula>"Absent"</formula>
    </cfRule>
    <cfRule type="containsText" dxfId="5" priority="5" operator="containsText" text="Incomplete">
      <formula>NOT(ISERROR(SEARCH("Incomplete",AZ8)))</formula>
    </cfRule>
    <cfRule type="containsText" dxfId="4" priority="6" operator="containsText" text="Failed">
      <formula>NOT(ISERROR(SEARCH("Failed",AZ8)))</formula>
    </cfRule>
    <cfRule type="containsText" dxfId="3" priority="7" operator="containsText" text="Passed">
      <formula>NOT(ISERROR(SEARCH("Passed",AZ8)))</formula>
    </cfRule>
  </conditionalFormatting>
  <conditionalFormatting sqref="AH8">
    <cfRule type="cellIs" dxfId="2" priority="3" operator="lessThan">
      <formula>40</formula>
    </cfRule>
  </conditionalFormatting>
  <conditionalFormatting sqref="F8 J8 N8 R8 V8 Z8 AD8">
    <cfRule type="cellIs" dxfId="1" priority="2" operator="lessThan">
      <formula>40</formula>
    </cfRule>
  </conditionalFormatting>
  <conditionalFormatting sqref="D8">
    <cfRule type="cellIs" dxfId="0" priority="1" operator="equal">
      <formula>"A"</formula>
    </cfRule>
  </conditionalFormatting>
  <pageMargins left="0.12" right="0.12" top="0.38" bottom="0.2" header="0.1" footer="0.1"/>
  <pageSetup paperSize="5" scale="85" fitToWidth="0" fitToHeight="0" pageOrder="overThenDown" orientation="landscape" cellComments="asDisplayed" r:id="rId1"/>
  <headerFooter alignWithMargins="0">
    <oddHeader>&amp;R&amp;"-,Bold"&amp;14&amp;P</oddHeader>
    <oddFooter>&amp;C&amp;"-,Bold"&amp;D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Sample Foun Moder(Civil&amp;Archi)</vt:lpstr>
      <vt:lpstr>'Sample Foun Moder(Civil&amp;Archi)'!Print_Area</vt:lpstr>
      <vt:lpstr>'Sample Foun Moder(Civil&amp;Archi)'!Print_Titles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</dc:creator>
  <cp:lastModifiedBy>STI</cp:lastModifiedBy>
  <cp:lastPrinted>2026-05-07T10:23:18Z</cp:lastPrinted>
  <dcterms:created xsi:type="dcterms:W3CDTF">2026-05-07T10:22:31Z</dcterms:created>
  <dcterms:modified xsi:type="dcterms:W3CDTF">2026-05-07T10:24:12Z</dcterms:modified>
</cp:coreProperties>
</file>
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I\Desktop\"/>
    </mc:Choice>
  </mc:AlternateContent>
  <xr:revisionPtr revIDLastSave="0" documentId="8_{92FDDF28-6528-4357-BAA9-97213A298187}" xr6:coauthVersionLast="47" xr6:coauthVersionMax="47" xr10:uidLastSave="{00000000-0000-0000-0000-000000000000}"/>
  <bookViews>
    <workbookView xWindow="-120" yWindow="-120" windowWidth="29040" windowHeight="15840" xr2:uid="{614BBADF-7EC8-4065-9FB4-62EDCBF4E168}"/>
  </bookViews>
  <sheets>
    <sheet name="Progress MDY (civil)" sheetId="1" r:id="rId1"/>
  </sheets>
  <externalReferences>
    <externalReference r:id="rId2"/>
    <externalReference r:id="rId3"/>
    <externalReference r:id="rId4"/>
    <externalReference r:id="rId5"/>
  </externalReferences>
  <definedNames>
    <definedName name="\" localSheetId="0">#REF!</definedName>
    <definedName name="\">#REF!</definedName>
    <definedName name="_xlnm._FilterDatabase" localSheetId="0" hidden="1">'Progress MDY (civil)'!$A$5:$K$5</definedName>
    <definedName name="a" localSheetId="0">#REF!</definedName>
    <definedName name="a">#REF!</definedName>
    <definedName name="aa">[2]Grading!$D$2</definedName>
    <definedName name="aaa">[2]Grading!$D$13</definedName>
    <definedName name="Absent" localSheetId="0">#REF!</definedName>
    <definedName name="Absent">#REF!</definedName>
    <definedName name="Absent_Short" localSheetId="0">#REF!</definedName>
    <definedName name="Absent_Short">#REF!</definedName>
    <definedName name="bb">[2]Grading!$B$7</definedName>
    <definedName name="BM" localSheetId="0">#REF!</definedName>
    <definedName name="BM">#REF!</definedName>
    <definedName name="BM_1101" localSheetId="0">#REF!</definedName>
    <definedName name="BM_1101">#REF!</definedName>
    <definedName name="BM_1102" localSheetId="0">#REF!</definedName>
    <definedName name="BM_1102">#REF!</definedName>
    <definedName name="BM_1103" localSheetId="0">#REF!</definedName>
    <definedName name="BM_1103">#REF!</definedName>
    <definedName name="BM_1104" localSheetId="0">#REF!</definedName>
    <definedName name="BM_1104">#REF!</definedName>
    <definedName name="BM_1105" localSheetId="0">#REF!</definedName>
    <definedName name="BM_1105">#REF!</definedName>
    <definedName name="BM_1106" localSheetId="0">#REF!</definedName>
    <definedName name="BM_1106">#REF!</definedName>
    <definedName name="BM1101_CU" localSheetId="0">#REF!</definedName>
    <definedName name="BM1101_CU">#REF!</definedName>
    <definedName name="BM1102_CU" localSheetId="0">#REF!</definedName>
    <definedName name="BM1102_CU">#REF!</definedName>
    <definedName name="BM1103_CU" localSheetId="0">#REF!</definedName>
    <definedName name="BM1103_CU">#REF!</definedName>
    <definedName name="BM1104_CU" localSheetId="0">#REF!</definedName>
    <definedName name="BM1104_CU">#REF!</definedName>
    <definedName name="BM1105_CU" localSheetId="0">#REF!</definedName>
    <definedName name="BM1105_CU">#REF!</definedName>
    <definedName name="BM1106_CU" localSheetId="0">#REF!</definedName>
    <definedName name="BM1106_CU">#REF!</definedName>
    <definedName name="cc">[2]Grading!$D$2</definedName>
    <definedName name="Credit" localSheetId="0">#REF!</definedName>
    <definedName name="Credit">#REF!</definedName>
    <definedName name="Distinction" localSheetId="0">#REF!</definedName>
    <definedName name="Distinction">#REF!</definedName>
    <definedName name="DOBFirst">[3]Sheet2!$H$2</definedName>
    <definedName name="DOBLast">[3]Sheet2!$H$3</definedName>
    <definedName name="Fail" localSheetId="0">#REF!</definedName>
    <definedName name="Fail">#REF!</definedName>
    <definedName name="FS_1101">[4]Grading!$A$20</definedName>
    <definedName name="FS_1102">[4]Grading!$A$21</definedName>
    <definedName name="FS_1103">[4]Grading!$A$22</definedName>
    <definedName name="FS_1104">[4]Grading!$A$23</definedName>
    <definedName name="FS_1105">[4]Grading!$A$24</definedName>
    <definedName name="FS_1106">[4]Grading!$A$25</definedName>
    <definedName name="GM1102_CU" localSheetId="0">#REF!</definedName>
    <definedName name="GM1102_CU">#REF!</definedName>
    <definedName name="Grade_A" localSheetId="0">#REF!</definedName>
    <definedName name="Grade_A">#REF!</definedName>
    <definedName name="Grade_A_GPA" localSheetId="0">#REF!</definedName>
    <definedName name="Grade_A_GPA">#REF!</definedName>
    <definedName name="Grade_A_LowerBound" localSheetId="0">#REF!</definedName>
    <definedName name="Grade_A_LowerBound">#REF!</definedName>
    <definedName name="Grade_A_Minus" localSheetId="0">#REF!</definedName>
    <definedName name="Grade_A_Minus">#REF!</definedName>
    <definedName name="Grade_A_Minus_GPA" localSheetId="0">#REF!</definedName>
    <definedName name="Grade_A_Minus_GPA">#REF!</definedName>
    <definedName name="Grade_A_Minus_LowerBound" localSheetId="0">#REF!</definedName>
    <definedName name="Grade_A_Minus_LowerBound">#REF!</definedName>
    <definedName name="Grade_A_Minus_Short" localSheetId="0">#REF!</definedName>
    <definedName name="Grade_A_Minus_Short">#REF!</definedName>
    <definedName name="Grade_A_Minus_UpperBound" localSheetId="0">#REF!</definedName>
    <definedName name="Grade_A_Minus_UpperBound">#REF!</definedName>
    <definedName name="Grade_A_Plus" localSheetId="0">#REF!</definedName>
    <definedName name="Grade_A_Plus">#REF!</definedName>
    <definedName name="Grade_A_Plus_GPA" localSheetId="0">#REF!</definedName>
    <definedName name="Grade_A_Plus_GPA">#REF!</definedName>
    <definedName name="Grade_A_Plus_LowerBound" localSheetId="0">#REF!</definedName>
    <definedName name="Grade_A_Plus_LowerBound">#REF!</definedName>
    <definedName name="Grade_A_Plus_Short" localSheetId="0">#REF!</definedName>
    <definedName name="Grade_A_Plus_Short">#REF!</definedName>
    <definedName name="Grade_A_Plus_UpperBound" localSheetId="0">#REF!</definedName>
    <definedName name="Grade_A_Plus_UpperBound">#REF!</definedName>
    <definedName name="Grade_A_Short" localSheetId="0">#REF!</definedName>
    <definedName name="Grade_A_Short">#REF!</definedName>
    <definedName name="Grade_A_UpperBound" localSheetId="0">#REF!</definedName>
    <definedName name="Grade_A_UpperBound">#REF!</definedName>
    <definedName name="Grade_B" localSheetId="0">#REF!</definedName>
    <definedName name="Grade_B">#REF!</definedName>
    <definedName name="Grade_B_GPA" localSheetId="0">#REF!</definedName>
    <definedName name="Grade_B_GPA">#REF!</definedName>
    <definedName name="Grade_B_LowerBound" localSheetId="0">#REF!</definedName>
    <definedName name="Grade_B_LowerBound">#REF!</definedName>
    <definedName name="Grade_B_Minus" localSheetId="0">#REF!</definedName>
    <definedName name="Grade_B_Minus">#REF!</definedName>
    <definedName name="Grade_B_Minus_GPA" localSheetId="0">#REF!</definedName>
    <definedName name="Grade_B_Minus_GPA">#REF!</definedName>
    <definedName name="Grade_B_Minus_LowerBound" localSheetId="0">#REF!</definedName>
    <definedName name="Grade_B_Minus_LowerBound">#REF!</definedName>
    <definedName name="Grade_B_Minus_Short" localSheetId="0">#REF!</definedName>
    <definedName name="Grade_B_Minus_Short">#REF!</definedName>
    <definedName name="Grade_B_Minus_UpperBound" localSheetId="0">#REF!</definedName>
    <definedName name="Grade_B_Minus_UpperBound">#REF!</definedName>
    <definedName name="Grade_B_Plus" localSheetId="0">#REF!</definedName>
    <definedName name="Grade_B_Plus">#REF!</definedName>
    <definedName name="Grade_B_Plus_GPA" localSheetId="0">#REF!</definedName>
    <definedName name="Grade_B_Plus_GPA">#REF!</definedName>
    <definedName name="Grade_B_Plus_LowerBound" localSheetId="0">#REF!</definedName>
    <definedName name="Grade_B_Plus_LowerBound">#REF!</definedName>
    <definedName name="Grade_B_Plus_Short" localSheetId="0">#REF!</definedName>
    <definedName name="Grade_B_Plus_Short">#REF!</definedName>
    <definedName name="Grade_B_Plus_UpperBound" localSheetId="0">#REF!</definedName>
    <definedName name="Grade_B_Plus_UpperBound">#REF!</definedName>
    <definedName name="Grade_B_Short" localSheetId="0">#REF!</definedName>
    <definedName name="Grade_B_Short">#REF!</definedName>
    <definedName name="Grade_B_UpperBound" localSheetId="0">#REF!</definedName>
    <definedName name="Grade_B_UpperBound">#REF!</definedName>
    <definedName name="Grade_C" localSheetId="0">#REF!</definedName>
    <definedName name="Grade_C">#REF!</definedName>
    <definedName name="Grade_C_GPA" localSheetId="0">#REF!</definedName>
    <definedName name="Grade_C_GPA">#REF!</definedName>
    <definedName name="Grade_C_LowerBound" localSheetId="0">#REF!</definedName>
    <definedName name="Grade_C_LowerBound">#REF!</definedName>
    <definedName name="Grade_C_Minus" localSheetId="0">#REF!</definedName>
    <definedName name="Grade_C_Minus">#REF!</definedName>
    <definedName name="Grade_C_Minus_GPA" localSheetId="0">#REF!</definedName>
    <definedName name="Grade_C_Minus_GPA">#REF!</definedName>
    <definedName name="Grade_C_Minus_LowerBound" localSheetId="0">#REF!</definedName>
    <definedName name="Grade_C_Minus_LowerBound">#REF!</definedName>
    <definedName name="Grade_C_Minus_Short" localSheetId="0">#REF!</definedName>
    <definedName name="Grade_C_Minus_Short">#REF!</definedName>
    <definedName name="Grade_C_Minus_UpperBound" localSheetId="0">#REF!</definedName>
    <definedName name="Grade_C_Minus_UpperBound">#REF!</definedName>
    <definedName name="Grade_C_Plus" localSheetId="0">#REF!</definedName>
    <definedName name="Grade_C_Plus">#REF!</definedName>
    <definedName name="Grade_C_Plus_GPA" localSheetId="0">#REF!</definedName>
    <definedName name="Grade_C_Plus_GPA">#REF!</definedName>
    <definedName name="Grade_C_Plus_LowerBound" localSheetId="0">#REF!</definedName>
    <definedName name="Grade_C_Plus_LowerBound">#REF!</definedName>
    <definedName name="Grade_C_Plus_Short" localSheetId="0">#REF!</definedName>
    <definedName name="Grade_C_Plus_Short">#REF!</definedName>
    <definedName name="Grade_C_Plus_UpperBound" localSheetId="0">#REF!</definedName>
    <definedName name="Grade_C_Plus_UpperBound">#REF!</definedName>
    <definedName name="Grade_C_Short" localSheetId="0">#REF!</definedName>
    <definedName name="Grade_C_Short">#REF!</definedName>
    <definedName name="Grade_C_UpperBound" localSheetId="0">#REF!</definedName>
    <definedName name="Grade_C_UpperBound">#REF!</definedName>
    <definedName name="Grade_D" localSheetId="0">#REF!</definedName>
    <definedName name="Grade_D">#REF!</definedName>
    <definedName name="Grade_D_GPA" localSheetId="0">#REF!</definedName>
    <definedName name="Grade_D_GPA">#REF!</definedName>
    <definedName name="Grade_D_LowerBound" localSheetId="0">#REF!</definedName>
    <definedName name="Grade_D_LowerBound">#REF!</definedName>
    <definedName name="Grade_D_Plus" localSheetId="0">#REF!</definedName>
    <definedName name="Grade_D_Plus">#REF!</definedName>
    <definedName name="Grade_D_Plus_GPA" localSheetId="0">#REF!</definedName>
    <definedName name="Grade_D_Plus_GPA">#REF!</definedName>
    <definedName name="Grade_D_Plus_LowerBound" localSheetId="0">#REF!</definedName>
    <definedName name="Grade_D_Plus_LowerBound">#REF!</definedName>
    <definedName name="Grade_D_Plus_Short" localSheetId="0">#REF!</definedName>
    <definedName name="Grade_D_Plus_Short">#REF!</definedName>
    <definedName name="Grade_D_Plus_UpperBound" localSheetId="0">#REF!</definedName>
    <definedName name="Grade_D_Plus_UpperBound">#REF!</definedName>
    <definedName name="Grade_D_Short" localSheetId="0">#REF!</definedName>
    <definedName name="Grade_D_Short">#REF!</definedName>
    <definedName name="Grade_D_UpperBound" localSheetId="0">#REF!</definedName>
    <definedName name="Grade_D_UpperBound">#REF!</definedName>
    <definedName name="Grade_E" localSheetId="0">#REF!</definedName>
    <definedName name="Grade_E">#REF!</definedName>
    <definedName name="Grade_E_Bound" localSheetId="0">#REF!</definedName>
    <definedName name="Grade_E_Bound">#REF!</definedName>
    <definedName name="Grade_E_GPA" localSheetId="0">#REF!</definedName>
    <definedName name="Grade_E_GPA">#REF!</definedName>
    <definedName name="Grade_E_Short" localSheetId="0">#REF!</definedName>
    <definedName name="Grade_E_Short">#REF!</definedName>
    <definedName name="Grade_F" localSheetId="0">#REF!</definedName>
    <definedName name="Grade_F">#REF!</definedName>
    <definedName name="Grade_F_Bound" localSheetId="0">#REF!</definedName>
    <definedName name="Grade_F_Bound">#REF!</definedName>
    <definedName name="Grade_F_GPA" localSheetId="0">#REF!</definedName>
    <definedName name="Grade_F_GPA">#REF!</definedName>
    <definedName name="Grade_F_Short" localSheetId="0">#REF!</definedName>
    <definedName name="Grade_F_Short">#REF!</definedName>
    <definedName name="Hydraulic" localSheetId="0">#REF!</definedName>
    <definedName name="Hydraulic">#REF!</definedName>
    <definedName name="Incomplete" localSheetId="0">#REF!</definedName>
    <definedName name="Incomplete">#REF!</definedName>
    <definedName name="Incomplete_Short" localSheetId="0">#REF!</definedName>
    <definedName name="Incomplete_Short">#REF!</definedName>
    <definedName name="nini">[2]Grading!$B$14</definedName>
    <definedName name="nu">[2]Grading!$D$4</definedName>
    <definedName name="Pass" localSheetId="0">#REF!</definedName>
    <definedName name="Pass">#REF!</definedName>
    <definedName name="Rejected" localSheetId="0">#REF!</definedName>
    <definedName name="Rejected">#REF!</definedName>
    <definedName name="S1_CreditUnit" localSheetId="0">#REF!</definedName>
    <definedName name="S1_CreditUnit">#REF!</definedName>
    <definedName name="S2_CreditUnit" localSheetId="0">#REF!</definedName>
    <definedName name="S2_CreditUnit">#REF!</definedName>
    <definedName name="Section_List">[3]Sheet2!$I$2:$I$9</definedName>
    <definedName name="Semester_Wise_Absent" localSheetId="0">#REF!</definedName>
    <definedName name="Semester_Wise_Absent">#REF!</definedName>
    <definedName name="Semester_Wise_Absent_Short" localSheetId="0">#REF!</definedName>
    <definedName name="Semester_Wise_Absent_Short">#REF!</definedName>
    <definedName name="Semester_Wise_Failed" localSheetId="0">#REF!</definedName>
    <definedName name="Semester_Wise_Failed">#REF!</definedName>
    <definedName name="Semester_Wise_Failed_Short" localSheetId="0">#REF!</definedName>
    <definedName name="Semester_Wise_Failed_Short">#REF!</definedName>
    <definedName name="Semester_Wise_Incomplete" localSheetId="0">#REF!</definedName>
    <definedName name="Semester_Wise_Incomplete">#REF!</definedName>
    <definedName name="Semester_Wise_Incomplete_Short" localSheetId="0">#REF!</definedName>
    <definedName name="Semester_Wise_Incomplete_Short">#REF!</definedName>
    <definedName name="Semester_Wise_Passed" localSheetId="0">#REF!</definedName>
    <definedName name="Semester_Wise_Passed">#REF!</definedName>
    <definedName name="Semester_Wise_Passed_Short" localSheetId="0">#REF!</definedName>
    <definedName name="Semester_Wise_Passed_Short">#REF!</definedName>
    <definedName name="Semester_Wise_Withdraw" localSheetId="0">#REF!</definedName>
    <definedName name="Semester_Wise_Withdraw">#REF!</definedName>
    <definedName name="Semester_Wise_Withdraw_Short" localSheetId="0">#REF!</definedName>
    <definedName name="Semester_Wise_Withdraw_Short">#REF!</definedName>
    <definedName name="SummationCreditUnits" localSheetId="0">#REF!</definedName>
    <definedName name="SummationCreditUnits">#REF!</definedName>
    <definedName name="vv">[2]Grading!$D$8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J11" i="1" s="1"/>
  <c r="G11" i="1"/>
  <c r="F11" i="1"/>
  <c r="E11" i="1"/>
  <c r="D11" i="1"/>
  <c r="K11" i="1" s="1"/>
  <c r="I10" i="1"/>
  <c r="H10" i="1"/>
  <c r="G10" i="1"/>
  <c r="F10" i="1"/>
  <c r="E10" i="1"/>
  <c r="D10" i="1"/>
  <c r="K10" i="1" s="1"/>
  <c r="I9" i="1"/>
  <c r="H9" i="1"/>
  <c r="G9" i="1"/>
  <c r="F9" i="1"/>
  <c r="E9" i="1"/>
  <c r="D9" i="1"/>
  <c r="K9" i="1" s="1"/>
  <c r="I8" i="1"/>
  <c r="H8" i="1"/>
  <c r="G8" i="1"/>
  <c r="F8" i="1"/>
  <c r="E8" i="1"/>
  <c r="D8" i="1"/>
  <c r="K8" i="1" s="1"/>
  <c r="I7" i="1"/>
  <c r="H7" i="1"/>
  <c r="G7" i="1"/>
  <c r="F7" i="1"/>
  <c r="E7" i="1"/>
  <c r="D7" i="1"/>
  <c r="K7" i="1" s="1"/>
  <c r="J7" i="1" l="1"/>
  <c r="J8" i="1"/>
  <c r="J9" i="1"/>
  <c r="J10" i="1"/>
</calcChain>
</file>

<file path=xl/sharedStrings.xml><?xml version="1.0" encoding="utf-8"?>
<sst xmlns="http://schemas.openxmlformats.org/spreadsheetml/2006/main" count="26" uniqueCount="26">
  <si>
    <t>STI Myanmar College (Mandalay Campus)</t>
  </si>
  <si>
    <t>BEng (Hons) Civil Engineering</t>
  </si>
  <si>
    <r>
      <t>Intake - 17 (First Year, 1</t>
    </r>
    <r>
      <rPr>
        <b/>
        <vertAlign val="superscript"/>
        <sz val="14"/>
        <color theme="1"/>
        <rFont val="Arial"/>
        <family val="2"/>
      </rPr>
      <t>st</t>
    </r>
    <r>
      <rPr>
        <b/>
        <sz val="14"/>
        <color theme="1"/>
        <rFont val="Arial"/>
        <family val="2"/>
      </rPr>
      <t xml:space="preserve"> Semester)</t>
    </r>
  </si>
  <si>
    <t>Progress Result</t>
  </si>
  <si>
    <t>No</t>
  </si>
  <si>
    <t>Student 
ID</t>
  </si>
  <si>
    <t>Name</t>
  </si>
  <si>
    <t>Mathematics II 
(BE 2101)</t>
  </si>
  <si>
    <t>Graphical Process For Design
(BE 2102)</t>
  </si>
  <si>
    <t>Applied Mechanics
(BE 2103)</t>
  </si>
  <si>
    <t>Construction Materials
(BE 2107)</t>
  </si>
  <si>
    <t>Organization and Procedure of Construction
(BE 2109)</t>
  </si>
  <si>
    <t>English
(BE 210E)</t>
  </si>
  <si>
    <t>Total Marks</t>
  </si>
  <si>
    <t>Average of First Semester</t>
  </si>
  <si>
    <t>Remark</t>
  </si>
  <si>
    <t>STIMDY-272</t>
  </si>
  <si>
    <t>STIMDY-274</t>
  </si>
  <si>
    <t>STIMDY-280</t>
  </si>
  <si>
    <t>STIMDY-281</t>
  </si>
  <si>
    <t>STI MDY-285</t>
  </si>
  <si>
    <t xml:space="preserve">Zaw </t>
  </si>
  <si>
    <t>Khant</t>
  </si>
  <si>
    <t>Wai</t>
  </si>
  <si>
    <t xml:space="preserve">Ko </t>
  </si>
  <si>
    <t xml:space="preserve">Thaw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</si>
</sst>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4"/>
      <color theme="1"/>
      <name val="Times New Roman"/>
      <family val="1"/>
    </font>
    <font>
      <b/>
      <sz val="14"/>
      <color theme="1"/>
      <name val="Arial"/>
      <family val="2"/>
    </font>
    <font>
      <b/>
      <sz val="14"/>
      <color theme="1"/>
      <name val="Times New Roman"/>
      <family val="1"/>
    </font>
    <font>
      <b/>
      <vertAlign val="superscript"/>
      <sz val="14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1" applyAlignment="1" applyProtection="1">
      <alignment vertical="center"/>
      <protection locked="0"/>
    </xf>
  </cellXfs>
  <cellStyles count="2">
    <cellStyle name="Normal" xfId="0" builtinId="0"/>
    <cellStyle name="Normal 2" xfId="1" xr:uid="{84F47711-CD54-4F2F-85B2-7C78D408B72E}"/>
  </cellStyles>
  <dxfs count="2">
    <dxf>
      <fill>
        <patternFill>
          <bgColor theme="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am%20Data\Result\17BE\First%20Year\1st%20Sem\17BE%20-%20First%20Year%20Combined%20Result%20Apr'26.xlsx" TargetMode="External"/><Relationship Id="rId1" Type="http://schemas.openxmlformats.org/officeDocument/2006/relationships/externalLinkPath" Target="file:///D:\Exam%20Data\Result\17BE\First%20Year\1st%20Sem\17BE%20-%20First%20Year%20Combined%20Result%20Apr'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st%20Semester\Management%20(Intake%20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STI%20Admin\Desktop\Daw%20Chu%20Chu\STI%20Data\TRAINING\Student%20Database\4th%20Intake%20(Aug%2031-Mar%2013)\Student%20Database%20Intake%204%20CBM%20CFS-31-Aug-20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Sngtech\Desktop\Exam%20Result%20for%20NMC\Intake1\INTAKE%201_Internal\1%20CFS%20Marks%20Calculate%20Intake%201_2012-13_FINAL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ration Marks (Archi)"/>
      <sheetName val="Moderation Marks (Civil)"/>
      <sheetName val="Progress MDY (civil)"/>
      <sheetName val="Progress MDY (archi)"/>
      <sheetName val="Progress Resit (Archi)"/>
      <sheetName val="Math II (S1)"/>
      <sheetName val="Math II (S1) Resit"/>
      <sheetName val=" Cons Ma"/>
      <sheetName val="AM (Civil)"/>
      <sheetName val="A&amp;MM (Archi) "/>
      <sheetName val="OPC"/>
      <sheetName val="GPFD "/>
      <sheetName val="Eng (S1)"/>
      <sheetName val="Maths II S2"/>
      <sheetName val="Fluid &amp; Soil"/>
      <sheetName val="MOM (Civil)"/>
      <sheetName val="Intro to Archi"/>
      <sheetName val="Contruction Plant"/>
      <sheetName val="Surveying"/>
      <sheetName val="Sust Construction"/>
      <sheetName val="Eng Skill(S2)"/>
    </sheetNames>
    <sheetDataSet>
      <sheetData sheetId="0"/>
      <sheetData sheetId="1"/>
      <sheetData sheetId="2"/>
      <sheetData sheetId="3"/>
      <sheetData sheetId="4"/>
      <sheetData sheetId="5">
        <row r="5">
          <cell r="J5">
            <v>86</v>
          </cell>
        </row>
        <row r="6">
          <cell r="J6">
            <v>77</v>
          </cell>
        </row>
        <row r="7">
          <cell r="J7">
            <v>80</v>
          </cell>
        </row>
        <row r="8">
          <cell r="J8">
            <v>84</v>
          </cell>
        </row>
        <row r="9">
          <cell r="J9">
            <v>71</v>
          </cell>
        </row>
      </sheetData>
      <sheetData sheetId="6"/>
      <sheetData sheetId="7">
        <row r="5">
          <cell r="K5">
            <v>61</v>
          </cell>
        </row>
        <row r="6">
          <cell r="K6">
            <v>61</v>
          </cell>
        </row>
        <row r="7">
          <cell r="K7">
            <v>56</v>
          </cell>
        </row>
        <row r="8">
          <cell r="K8">
            <v>59</v>
          </cell>
        </row>
        <row r="9">
          <cell r="K9">
            <v>57</v>
          </cell>
        </row>
      </sheetData>
      <sheetData sheetId="8">
        <row r="5">
          <cell r="Q5">
            <v>93</v>
          </cell>
        </row>
        <row r="6">
          <cell r="Q6">
            <v>85</v>
          </cell>
        </row>
        <row r="7">
          <cell r="Q7">
            <v>88</v>
          </cell>
        </row>
        <row r="8">
          <cell r="Q8">
            <v>80</v>
          </cell>
        </row>
        <row r="9">
          <cell r="Q9">
            <v>80</v>
          </cell>
        </row>
      </sheetData>
      <sheetData sheetId="9"/>
      <sheetData sheetId="10">
        <row r="5">
          <cell r="K5">
            <v>46</v>
          </cell>
        </row>
        <row r="6">
          <cell r="K6">
            <v>60</v>
          </cell>
        </row>
        <row r="7">
          <cell r="K7">
            <v>57</v>
          </cell>
        </row>
        <row r="8">
          <cell r="K8">
            <v>60</v>
          </cell>
        </row>
        <row r="9">
          <cell r="K9">
            <v>57</v>
          </cell>
        </row>
      </sheetData>
      <sheetData sheetId="11">
        <row r="5">
          <cell r="N5">
            <v>77</v>
          </cell>
        </row>
        <row r="6">
          <cell r="N6">
            <v>85</v>
          </cell>
        </row>
        <row r="7">
          <cell r="N7">
            <v>77</v>
          </cell>
        </row>
        <row r="8">
          <cell r="N8">
            <v>75</v>
          </cell>
        </row>
        <row r="9">
          <cell r="N9">
            <v>89</v>
          </cell>
        </row>
      </sheetData>
      <sheetData sheetId="12">
        <row r="5">
          <cell r="N5">
            <v>77</v>
          </cell>
        </row>
        <row r="6">
          <cell r="N6">
            <v>58</v>
          </cell>
        </row>
        <row r="7">
          <cell r="N7">
            <v>61</v>
          </cell>
        </row>
        <row r="8">
          <cell r="N8">
            <v>64</v>
          </cell>
        </row>
        <row r="9">
          <cell r="N9">
            <v>81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ing"/>
      <sheetName val="BM 1101 Marks(1st) Oct 2013"/>
    </sheetNames>
    <sheetDataSet>
      <sheetData sheetId="0">
        <row r="2">
          <cell r="B2" t="str">
            <v>A+</v>
          </cell>
          <cell r="D2">
            <v>91</v>
          </cell>
        </row>
        <row r="4">
          <cell r="D4">
            <v>81</v>
          </cell>
        </row>
        <row r="7">
          <cell r="B7" t="str">
            <v>B-</v>
          </cell>
        </row>
        <row r="8">
          <cell r="D8">
            <v>51</v>
          </cell>
        </row>
        <row r="13">
          <cell r="D13" t="str">
            <v>Absent</v>
          </cell>
        </row>
        <row r="14">
          <cell r="B14" t="str">
            <v>F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Intake 4"/>
      <sheetName val="Daily Student Lists Checked"/>
      <sheetName val="Sheet1"/>
      <sheetName val="Daily Student Lists(Auto)"/>
      <sheetName val="Sheet5"/>
      <sheetName val="Sheet3"/>
      <sheetName val="Sheet4"/>
      <sheetName val="Sheet6"/>
      <sheetName val="Sheet7"/>
      <sheetName val="Sheet8"/>
      <sheetName val="Student Database Intake 4 CBM C"/>
    </sheetNames>
    <sheetDataSet>
      <sheetData sheetId="0">
        <row r="2">
          <cell r="A2" t="str">
            <v>r</v>
          </cell>
          <cell r="H2">
            <v>20090</v>
          </cell>
          <cell r="I2" t="str">
            <v>Section A</v>
          </cell>
        </row>
        <row r="3">
          <cell r="H3">
            <v>36526</v>
          </cell>
          <cell r="I3" t="str">
            <v>Section B</v>
          </cell>
        </row>
        <row r="4">
          <cell r="I4" t="str">
            <v>Section C</v>
          </cell>
        </row>
        <row r="5">
          <cell r="I5" t="str">
            <v>Section D</v>
          </cell>
        </row>
        <row r="6">
          <cell r="I6" t="str">
            <v>Section E</v>
          </cell>
        </row>
        <row r="7">
          <cell r="I7" t="str">
            <v>Section F</v>
          </cell>
        </row>
        <row r="8">
          <cell r="I8" t="str">
            <v>Section G</v>
          </cell>
        </row>
        <row r="9">
          <cell r="I9" t="str">
            <v>Section H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ing"/>
      <sheetName val="Moderation CFS (Marks)"/>
      <sheetName val="CFS (Result Stu)Grade"/>
      <sheetName val="CFS (Marks)"/>
      <sheetName val="FS 1101 Marks(1st)Jan12 "/>
      <sheetName val="FS 1102 Marks(1st)Jan12 "/>
      <sheetName val="FS 1103 Marks(1st)Jan12 "/>
      <sheetName val="FS 1104 Marks(1st)Jan12 "/>
      <sheetName val="FS 1105 Marks(1st)Jan12 "/>
      <sheetName val="FS 1106 Marks(1st)Jan12 "/>
    </sheetNames>
    <sheetDataSet>
      <sheetData sheetId="0">
        <row r="20">
          <cell r="A20" t="str">
            <v xml:space="preserve">FS 1101 </v>
          </cell>
        </row>
        <row r="21">
          <cell r="A21" t="str">
            <v>FS 1102</v>
          </cell>
        </row>
        <row r="22">
          <cell r="A22" t="str">
            <v xml:space="preserve">FS 1103 </v>
          </cell>
        </row>
        <row r="23">
          <cell r="A23" t="str">
            <v xml:space="preserve">FS 1104 </v>
          </cell>
        </row>
        <row r="24">
          <cell r="A24" t="str">
            <v xml:space="preserve">FS 1105 </v>
          </cell>
        </row>
        <row r="25">
          <cell r="A25" t="str">
            <v xml:space="preserve">FS 1106 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3256-688B-4ABB-864E-DD71616A0FA3}">
  <sheetPr>
    <tabColor rgb="FFFFFF00"/>
  </sheetPr>
  <dimension ref="A1:AC19"/>
  <sheetViews>
    <sheetView tabSelected="1" showRuler="0" zoomScaleNormal="100" zoomScalePageLayoutView="50" workbookViewId="0">
      <selection activeCell="D15" sqref="D15"/>
    </sheetView>
  </sheetViews>
  <sheetFormatPr defaultColWidth="9.140625" defaultRowHeight="15.75" x14ac:dyDescent="0.25"/>
  <cols>
    <col min="1" max="1" width="6.85546875" style="22" customWidth="1"/>
    <col min="2" max="2" width="20.42578125" style="22" customWidth="1"/>
    <col min="3" max="3" width="24.28515625" style="22" customWidth="1"/>
    <col min="4" max="9" width="15.28515625" style="23" customWidth="1"/>
    <col min="10" max="11" width="15.28515625" style="22" customWidth="1"/>
    <col min="12" max="12" width="15" style="22" customWidth="1"/>
    <col min="13" max="16384" width="9.140625" style="22"/>
  </cols>
  <sheetData>
    <row r="1" spans="1:29" s="2" customFormat="1" ht="25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9" s="2" customFormat="1" ht="25.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U2" s="4"/>
      <c r="V2" s="4"/>
      <c r="W2" s="4"/>
      <c r="X2" s="4"/>
      <c r="Y2" s="4"/>
      <c r="Z2" s="4"/>
      <c r="AA2" s="4"/>
      <c r="AB2" s="4"/>
      <c r="AC2" s="4"/>
    </row>
    <row r="3" spans="1:29" s="2" customFormat="1" ht="25.5" customHeigh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U3" s="4"/>
      <c r="V3" s="4"/>
      <c r="W3" s="4"/>
      <c r="X3" s="4"/>
      <c r="Y3" s="4"/>
      <c r="Z3" s="4"/>
      <c r="AA3" s="4"/>
      <c r="AB3" s="4"/>
      <c r="AC3" s="4"/>
    </row>
    <row r="4" spans="1:29" s="2" customFormat="1" ht="25.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U4" s="4"/>
      <c r="V4" s="4"/>
      <c r="W4" s="4"/>
      <c r="X4" s="4"/>
      <c r="Y4" s="4"/>
      <c r="Z4" s="4"/>
      <c r="AA4" s="4"/>
      <c r="AB4" s="4"/>
      <c r="AC4" s="4"/>
    </row>
    <row r="5" spans="1:29" s="2" customFormat="1" ht="20.25" customHeight="1" x14ac:dyDescent="0.25">
      <c r="A5" s="5"/>
      <c r="B5" s="5"/>
      <c r="C5" s="5"/>
      <c r="D5" s="5"/>
      <c r="E5" s="5"/>
      <c r="F5" s="5"/>
      <c r="G5" s="5"/>
      <c r="H5" s="5"/>
      <c r="I5" s="5"/>
      <c r="J5" s="6"/>
      <c r="K5" s="6"/>
      <c r="L5" s="7"/>
      <c r="U5" s="4"/>
      <c r="V5" s="4"/>
      <c r="W5" s="4"/>
      <c r="X5" s="4"/>
      <c r="Y5" s="4"/>
      <c r="Z5" s="4"/>
      <c r="AA5" s="4"/>
      <c r="AB5" s="4"/>
      <c r="AC5" s="4"/>
    </row>
    <row r="6" spans="1:29" s="13" customFormat="1" ht="71.25" customHeight="1" x14ac:dyDescent="0.25">
      <c r="A6" s="8" t="s">
        <v>4</v>
      </c>
      <c r="B6" s="9" t="s">
        <v>5</v>
      </c>
      <c r="C6" s="8" t="s">
        <v>6</v>
      </c>
      <c r="D6" s="10" t="s">
        <v>7</v>
      </c>
      <c r="E6" s="10" t="s">
        <v>8</v>
      </c>
      <c r="F6" s="10" t="s">
        <v>9</v>
      </c>
      <c r="G6" s="11" t="s">
        <v>10</v>
      </c>
      <c r="H6" s="11" t="s">
        <v>11</v>
      </c>
      <c r="I6" s="12" t="s">
        <v>12</v>
      </c>
      <c r="J6" s="9" t="s">
        <v>13</v>
      </c>
      <c r="K6" s="9" t="s">
        <v>14</v>
      </c>
      <c r="L6" s="10" t="s">
        <v>15</v>
      </c>
      <c r="U6" s="14"/>
      <c r="V6" s="14"/>
      <c r="W6" s="14"/>
      <c r="X6" s="14"/>
      <c r="Y6" s="14"/>
      <c r="Z6" s="14"/>
      <c r="AA6" s="14"/>
      <c r="AB6" s="14"/>
      <c r="AC6" s="14"/>
    </row>
    <row r="7" spans="1:29" s="13" customFormat="1" ht="33.75" customHeight="1" x14ac:dyDescent="0.25">
      <c r="A7" s="15">
        <v>1</v>
      </c>
      <c r="B7" s="16" t="s">
        <v>16</v>
      </c>
      <c r="C7" s="16" t="s">
        <v>21</v>
      </c>
      <c r="D7" s="16">
        <f>'[1]Math II (S1)'!J5</f>
        <v>86</v>
      </c>
      <c r="E7" s="16">
        <f>'[1]GPFD '!N5</f>
        <v>77</v>
      </c>
      <c r="F7" s="16">
        <f>'[1]AM (Civil)'!Q5</f>
        <v>93</v>
      </c>
      <c r="G7" s="16">
        <f>'[1] Cons Ma'!K5</f>
        <v>61</v>
      </c>
      <c r="H7" s="16">
        <f>[1]OPC!K5</f>
        <v>46</v>
      </c>
      <c r="I7" s="16">
        <f>'[1]Eng (S1)'!N5</f>
        <v>77</v>
      </c>
      <c r="J7" s="17">
        <f>SUM(D7:I7)</f>
        <v>440</v>
      </c>
      <c r="K7" s="17">
        <f>AVERAGE(D7:I7)</f>
        <v>73.333333333333329</v>
      </c>
      <c r="L7" s="18"/>
      <c r="U7" s="14"/>
      <c r="V7" s="14"/>
      <c r="W7" s="14"/>
      <c r="X7" s="14"/>
      <c r="Y7" s="14"/>
      <c r="Z7" s="14"/>
      <c r="AA7" s="14"/>
      <c r="AB7" s="14"/>
      <c r="AC7" s="14"/>
    </row>
    <row r="8" spans="1:29" s="13" customFormat="1" ht="33.75" customHeight="1" x14ac:dyDescent="0.25">
      <c r="A8" s="15">
        <v>2</v>
      </c>
      <c r="B8" s="16" t="s">
        <v>17</v>
      </c>
      <c r="C8" s="19" t="s">
        <v>22</v>
      </c>
      <c r="D8" s="16">
        <f>'[1]Math II (S1)'!J6</f>
        <v>77</v>
      </c>
      <c r="E8" s="16">
        <f>'[1]GPFD '!N6</f>
        <v>85</v>
      </c>
      <c r="F8" s="16">
        <f>'[1]AM (Civil)'!Q6</f>
        <v>85</v>
      </c>
      <c r="G8" s="16">
        <f>'[1] Cons Ma'!K6</f>
        <v>61</v>
      </c>
      <c r="H8" s="16">
        <f>[1]OPC!K6</f>
        <v>60</v>
      </c>
      <c r="I8" s="16">
        <f>'[1]Eng (S1)'!N6</f>
        <v>58</v>
      </c>
      <c r="J8" s="17">
        <f t="shared" ref="J8:J11" si="0">SUM(D8:I8)</f>
        <v>426</v>
      </c>
      <c r="K8" s="17">
        <f t="shared" ref="K8:K11" si="1">AVERAGE(D8:I8)</f>
        <v>71</v>
      </c>
      <c r="L8" s="18"/>
      <c r="U8" s="14"/>
      <c r="V8" s="14"/>
      <c r="W8" s="14"/>
      <c r="X8" s="14"/>
      <c r="Y8" s="14"/>
      <c r="Z8" s="14"/>
      <c r="AA8" s="14"/>
      <c r="AB8" s="14"/>
      <c r="AC8" s="14"/>
    </row>
    <row r="9" spans="1:29" s="21" customFormat="1" ht="33.75" customHeight="1" x14ac:dyDescent="0.25">
      <c r="A9" s="15">
        <v>3</v>
      </c>
      <c r="B9" s="16" t="s">
        <v>18</v>
      </c>
      <c r="C9" s="16" t="s">
        <v>23</v>
      </c>
      <c r="D9" s="16">
        <f>'[1]Math II (S1)'!J7</f>
        <v>80</v>
      </c>
      <c r="E9" s="16">
        <f>'[1]GPFD '!N7</f>
        <v>77</v>
      </c>
      <c r="F9" s="16">
        <f>'[1]AM (Civil)'!Q7</f>
        <v>88</v>
      </c>
      <c r="G9" s="16">
        <f>'[1] Cons Ma'!K7</f>
        <v>56</v>
      </c>
      <c r="H9" s="16">
        <f>[1]OPC!K7</f>
        <v>57</v>
      </c>
      <c r="I9" s="16">
        <f>'[1]Eng (S1)'!N7</f>
        <v>61</v>
      </c>
      <c r="J9" s="17">
        <f t="shared" si="0"/>
        <v>419</v>
      </c>
      <c r="K9" s="17">
        <f t="shared" si="1"/>
        <v>69.833333333333329</v>
      </c>
      <c r="L9" s="20"/>
    </row>
    <row r="10" spans="1:29" ht="33.75" customHeight="1" x14ac:dyDescent="0.25">
      <c r="A10" s="15">
        <v>4</v>
      </c>
      <c r="B10" s="16" t="s">
        <v>19</v>
      </c>
      <c r="C10" s="19" t="s">
        <v>24</v>
      </c>
      <c r="D10" s="16">
        <f>'[1]Math II (S1)'!J8</f>
        <v>84</v>
      </c>
      <c r="E10" s="16">
        <f>'[1]GPFD '!N8</f>
        <v>75</v>
      </c>
      <c r="F10" s="16">
        <f>'[1]AM (Civil)'!Q8</f>
        <v>80</v>
      </c>
      <c r="G10" s="16">
        <f>'[1] Cons Ma'!K8</f>
        <v>59</v>
      </c>
      <c r="H10" s="16">
        <f>[1]OPC!K8</f>
        <v>60</v>
      </c>
      <c r="I10" s="16">
        <f>'[1]Eng (S1)'!N8</f>
        <v>64</v>
      </c>
      <c r="J10" s="17">
        <f t="shared" si="0"/>
        <v>422</v>
      </c>
      <c r="K10" s="17">
        <f t="shared" si="1"/>
        <v>70.333333333333329</v>
      </c>
      <c r="L10" s="20"/>
    </row>
    <row r="11" spans="1:29" ht="33.75" customHeight="1" x14ac:dyDescent="0.25">
      <c r="A11" s="16">
        <v>5</v>
      </c>
      <c r="B11" s="16" t="s">
        <v>20</v>
      </c>
      <c r="C11" s="16" t="s">
        <v>25</v>
      </c>
      <c r="D11" s="16">
        <f>'[1]Math II (S1)'!J9</f>
        <v>71</v>
      </c>
      <c r="E11" s="16">
        <f>'[1]GPFD '!N9</f>
        <v>89</v>
      </c>
      <c r="F11" s="16">
        <f>'[1]AM (Civil)'!Q9</f>
        <v>80</v>
      </c>
      <c r="G11" s="16">
        <f>'[1] Cons Ma'!K9</f>
        <v>57</v>
      </c>
      <c r="H11" s="16">
        <f>[1]OPC!K9</f>
        <v>57</v>
      </c>
      <c r="I11" s="16">
        <f>'[1]Eng (S1)'!N9</f>
        <v>81</v>
      </c>
      <c r="J11" s="17">
        <f t="shared" si="0"/>
        <v>435</v>
      </c>
      <c r="K11" s="17">
        <f t="shared" si="1"/>
        <v>72.5</v>
      </c>
      <c r="L11" s="20"/>
    </row>
    <row r="12" spans="1:29" x14ac:dyDescent="0.25">
      <c r="F12" s="24"/>
    </row>
    <row r="14" spans="1:29" x14ac:dyDescent="0.25">
      <c r="I14" s="26"/>
      <c r="J14" s="26"/>
    </row>
    <row r="15" spans="1:29" x14ac:dyDescent="0.25">
      <c r="I15" s="26"/>
      <c r="J15" s="26"/>
    </row>
    <row r="16" spans="1:29" x14ac:dyDescent="0.25">
      <c r="I16" s="26"/>
      <c r="J16" s="26"/>
    </row>
    <row r="17" spans="6:10" x14ac:dyDescent="0.25">
      <c r="F17" s="25"/>
      <c r="I17" s="26"/>
      <c r="J17" s="26"/>
    </row>
    <row r="18" spans="6:10" x14ac:dyDescent="0.25">
      <c r="F18" s="25"/>
      <c r="I18" s="26"/>
      <c r="J18" s="26"/>
    </row>
    <row r="19" spans="6:10" x14ac:dyDescent="0.25">
      <c r="I19" s="26"/>
      <c r="J19" s="26"/>
    </row>
  </sheetData>
  <autoFilter ref="A5:K5" xr:uid="{00000000-0009-0000-0000-000001000000}">
    <sortState xmlns:xlrd2="http://schemas.microsoft.com/office/spreadsheetml/2017/richdata2" ref="A6:L23">
      <sortCondition descending="1" ref="J5"/>
    </sortState>
  </autoFilter>
  <mergeCells count="4">
    <mergeCell ref="A1:L1"/>
    <mergeCell ref="A2:L2"/>
    <mergeCell ref="A3:L3"/>
    <mergeCell ref="A4:L4"/>
  </mergeCells>
  <conditionalFormatting sqref="J7:K11">
    <cfRule type="cellIs" dxfId="1" priority="2" stopIfTrue="1" operator="lessThan">
      <formula>40</formula>
    </cfRule>
  </conditionalFormatting>
  <conditionalFormatting sqref="C7:C8">
    <cfRule type="cellIs" dxfId="0" priority="1" operator="equal">
      <formula>"A"</formula>
    </cfRule>
  </conditionalFormatting>
  <pageMargins left="0.22" right="0.12" top="0.12" bottom="0.12" header="0.12" footer="0.25"/>
  <pageSetup paperSize="5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MDY (civil)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</dc:creator>
  <cp:lastModifiedBy>STI</cp:lastModifiedBy>
  <cp:lastPrinted>2026-05-22T04:15:56Z</cp:lastPrinted>
  <dcterms:created xsi:type="dcterms:W3CDTF">2026-05-22T04:15:11Z</dcterms:created>
  <dcterms:modified xsi:type="dcterms:W3CDTF">2026-05-22T04:17:14Z</dcterms:modified>
</cp:coreProperties>
</file>